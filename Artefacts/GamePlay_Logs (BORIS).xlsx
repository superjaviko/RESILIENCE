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S\RESILIENCE\TEST ESPERIMENTALE SAMMARCO\Gamplays Operators MSM\Logs\"/>
    </mc:Choice>
  </mc:AlternateContent>
  <xr:revisionPtr revIDLastSave="0" documentId="13_ncr:1_{860C2918-BA33-44BE-9D9B-419B7061BA3F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OPERATOR_1" sheetId="1" r:id="rId1"/>
    <sheet name="OPERATOR_2" sheetId="2" r:id="rId2"/>
    <sheet name="OPERATOR_3" sheetId="4" r:id="rId3"/>
    <sheet name="OPERATOR_4" sheetId="6" r:id="rId4"/>
    <sheet name="CRITERIA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2" i="6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2" i="4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2" i="2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" i="1"/>
</calcChain>
</file>

<file path=xl/sharedStrings.xml><?xml version="1.0" encoding="utf-8"?>
<sst xmlns="http://schemas.openxmlformats.org/spreadsheetml/2006/main" count="1246" uniqueCount="238">
  <si>
    <t>Observation id</t>
  </si>
  <si>
    <t>Observation date</t>
  </si>
  <si>
    <t>Description</t>
  </si>
  <si>
    <t>Observation duration</t>
  </si>
  <si>
    <t>Observation type</t>
  </si>
  <si>
    <t>Source</t>
  </si>
  <si>
    <t>Media duration (s)</t>
  </si>
  <si>
    <t>Behavior</t>
  </si>
  <si>
    <t>Behavioral category</t>
  </si>
  <si>
    <t>Behavior type</t>
  </si>
  <si>
    <t>Image index</t>
  </si>
  <si>
    <t>Image file path</t>
  </si>
  <si>
    <t>OPERATOR1</t>
  </si>
  <si>
    <t>2026-02-04 12:48:29.671</t>
  </si>
  <si>
    <t>Media file(s)</t>
  </si>
  <si>
    <t>564.100</t>
  </si>
  <si>
    <t>LISTEN_ASSISTANT</t>
  </si>
  <si>
    <t>HUMAN-ASSISTANT INTERACTION</t>
  </si>
  <si>
    <t>POINT</t>
  </si>
  <si>
    <t>107.833</t>
  </si>
  <si>
    <t>NA</t>
  </si>
  <si>
    <t>123.133</t>
  </si>
  <si>
    <t>150.833</t>
  </si>
  <si>
    <t>HESITATION</t>
  </si>
  <si>
    <t>START</t>
  </si>
  <si>
    <t>155.000</t>
  </si>
  <si>
    <t>STOP</t>
  </si>
  <si>
    <t>160.200</t>
  </si>
  <si>
    <t>163.633</t>
  </si>
  <si>
    <t>OPERATION_1</t>
  </si>
  <si>
    <t>EXECUTION</t>
  </si>
  <si>
    <t>172.000</t>
  </si>
  <si>
    <t>ASISTANT INTERACTION_ERROR</t>
  </si>
  <si>
    <t>ERROR</t>
  </si>
  <si>
    <t>175.500</t>
  </si>
  <si>
    <t>184.633</t>
  </si>
  <si>
    <t>SPEAK_ASSISTANT</t>
  </si>
  <si>
    <t>189.033</t>
  </si>
  <si>
    <t>207.400</t>
  </si>
  <si>
    <t>OPERATION_2</t>
  </si>
  <si>
    <t>213.133</t>
  </si>
  <si>
    <t>216.600</t>
  </si>
  <si>
    <t>221.933</t>
  </si>
  <si>
    <t>226.200</t>
  </si>
  <si>
    <t>249.300</t>
  </si>
  <si>
    <t>268.133</t>
  </si>
  <si>
    <t>271.733</t>
  </si>
  <si>
    <t>273.200</t>
  </si>
  <si>
    <t>OPERATION_3</t>
  </si>
  <si>
    <t>284.567</t>
  </si>
  <si>
    <t>290.667</t>
  </si>
  <si>
    <t>304.633</t>
  </si>
  <si>
    <t>OPERATION_4</t>
  </si>
  <si>
    <t>313.433</t>
  </si>
  <si>
    <t>316.167</t>
  </si>
  <si>
    <t>320.967</t>
  </si>
  <si>
    <t>345.533</t>
  </si>
  <si>
    <t>389.167</t>
  </si>
  <si>
    <t>397.133</t>
  </si>
  <si>
    <t>403.333</t>
  </si>
  <si>
    <t>407.633</t>
  </si>
  <si>
    <t>OPERATION_5</t>
  </si>
  <si>
    <t>414.800</t>
  </si>
  <si>
    <t>OPERATION_6</t>
  </si>
  <si>
    <t>425.433</t>
  </si>
  <si>
    <t>OPERATION_7</t>
  </si>
  <si>
    <t>432.367</t>
  </si>
  <si>
    <t>456.800</t>
  </si>
  <si>
    <t>460.600</t>
  </si>
  <si>
    <t>OPERATION_8</t>
  </si>
  <si>
    <t>468.767</t>
  </si>
  <si>
    <t>472.233</t>
  </si>
  <si>
    <t>OPERATION_9</t>
  </si>
  <si>
    <t>474.433</t>
  </si>
  <si>
    <t>PROCEDURAL_ERROR</t>
  </si>
  <si>
    <t>502.600</t>
  </si>
  <si>
    <t>505.467</t>
  </si>
  <si>
    <t>509.233</t>
  </si>
  <si>
    <t>OPERATION_10</t>
  </si>
  <si>
    <t>512.867</t>
  </si>
  <si>
    <t>521.167</t>
  </si>
  <si>
    <t>OPERATOR 2</t>
  </si>
  <si>
    <t>266.933</t>
  </si>
  <si>
    <t>297.100</t>
  </si>
  <si>
    <t>399.700</t>
  </si>
  <si>
    <t>423.667</t>
  </si>
  <si>
    <t>430.300</t>
  </si>
  <si>
    <t>435.033</t>
  </si>
  <si>
    <t>440.100</t>
  </si>
  <si>
    <t>445.467</t>
  </si>
  <si>
    <t>478.633</t>
  </si>
  <si>
    <t>492.100</t>
  </si>
  <si>
    <t>507.167</t>
  </si>
  <si>
    <t>512.800</t>
  </si>
  <si>
    <t>520.200</t>
  </si>
  <si>
    <t>525.833</t>
  </si>
  <si>
    <t>602.033</t>
  </si>
  <si>
    <t>641.667</t>
  </si>
  <si>
    <t>649.433</t>
  </si>
  <si>
    <t>655.700</t>
  </si>
  <si>
    <t>755.500</t>
  </si>
  <si>
    <t>790.767</t>
  </si>
  <si>
    <t>794.033</t>
  </si>
  <si>
    <t>808.400</t>
  </si>
  <si>
    <t>828.700</t>
  </si>
  <si>
    <t>835.433</t>
  </si>
  <si>
    <t>875.000</t>
  </si>
  <si>
    <t>912.233</t>
  </si>
  <si>
    <t>916.067</t>
  </si>
  <si>
    <t>920.233</t>
  </si>
  <si>
    <t>923.233</t>
  </si>
  <si>
    <t>943.400</t>
  </si>
  <si>
    <t>947.467</t>
  </si>
  <si>
    <t>952.567</t>
  </si>
  <si>
    <t>959.367</t>
  </si>
  <si>
    <t>964.167</t>
  </si>
  <si>
    <t>971.567</t>
  </si>
  <si>
    <t>987.733</t>
  </si>
  <si>
    <t>994.700</t>
  </si>
  <si>
    <t>1020.667</t>
  </si>
  <si>
    <t>1024.500</t>
  </si>
  <si>
    <t>1038.833</t>
  </si>
  <si>
    <t>1041.867</t>
  </si>
  <si>
    <t>1050.100</t>
  </si>
  <si>
    <t>781.900</t>
  </si>
  <si>
    <t>2026-02-04 16:11:07.817</t>
  </si>
  <si>
    <t>OPERATOR3</t>
  </si>
  <si>
    <t>756.133</t>
  </si>
  <si>
    <t>746.333</t>
  </si>
  <si>
    <t>746.100</t>
  </si>
  <si>
    <t>735.500</t>
  </si>
  <si>
    <t>733.233</t>
  </si>
  <si>
    <t>732.833</t>
  </si>
  <si>
    <t>729.967</t>
  </si>
  <si>
    <t>718.400</t>
  </si>
  <si>
    <t>711.033</t>
  </si>
  <si>
    <t>669.167</t>
  </si>
  <si>
    <t>666.600</t>
  </si>
  <si>
    <t>651.000</t>
  </si>
  <si>
    <t>625.133</t>
  </si>
  <si>
    <t>623.967</t>
  </si>
  <si>
    <t>620.033</t>
  </si>
  <si>
    <t>612.733</t>
  </si>
  <si>
    <t>585.467</t>
  </si>
  <si>
    <t>517.867</t>
  </si>
  <si>
    <t>514.200</t>
  </si>
  <si>
    <t>503.833</t>
  </si>
  <si>
    <t>479.000</t>
  </si>
  <si>
    <t>469.267</t>
  </si>
  <si>
    <t>430.900</t>
  </si>
  <si>
    <t>425.133</t>
  </si>
  <si>
    <t>403.300</t>
  </si>
  <si>
    <t>393.200</t>
  </si>
  <si>
    <t>367.300</t>
  </si>
  <si>
    <t>358.233</t>
  </si>
  <si>
    <t>313.033</t>
  </si>
  <si>
    <t>297.267</t>
  </si>
  <si>
    <t>294.433</t>
  </si>
  <si>
    <t>288.900</t>
  </si>
  <si>
    <t>262.367</t>
  </si>
  <si>
    <t>260.800</t>
  </si>
  <si>
    <t>252.733</t>
  </si>
  <si>
    <t>235.633</t>
  </si>
  <si>
    <t>233.400</t>
  </si>
  <si>
    <t>229.867</t>
  </si>
  <si>
    <t>220.600</t>
  </si>
  <si>
    <t>124.733</t>
  </si>
  <si>
    <t>104.700</t>
  </si>
  <si>
    <t>709.267</t>
  </si>
  <si>
    <t>817.266</t>
  </si>
  <si>
    <t>player #1:D:/PROJECTS/RESILIENCE/TEST ESPERIMENTALE SAMMARCO/Gamplays Operators MSM/ID4 - Operatore.mkv</t>
  </si>
  <si>
    <t>2026-02-04 16:57:07.044</t>
  </si>
  <si>
    <t>OPERATOR_4</t>
  </si>
  <si>
    <t>707.967</t>
  </si>
  <si>
    <t>706.667</t>
  </si>
  <si>
    <t>705.267</t>
  </si>
  <si>
    <t>696.867</t>
  </si>
  <si>
    <t>689.333</t>
  </si>
  <si>
    <t>683.800</t>
  </si>
  <si>
    <t>681.033</t>
  </si>
  <si>
    <t>658.267</t>
  </si>
  <si>
    <t>657.033</t>
  </si>
  <si>
    <t>650.833</t>
  </si>
  <si>
    <t>647.333</t>
  </si>
  <si>
    <t>632.467</t>
  </si>
  <si>
    <t>630.333</t>
  </si>
  <si>
    <t>627.833</t>
  </si>
  <si>
    <t>623.533</t>
  </si>
  <si>
    <t>619.133</t>
  </si>
  <si>
    <t>533.700</t>
  </si>
  <si>
    <t>498.500</t>
  </si>
  <si>
    <t>478.600</t>
  </si>
  <si>
    <t>453.333</t>
  </si>
  <si>
    <t>448.300</t>
  </si>
  <si>
    <t>439.067</t>
  </si>
  <si>
    <t>402.467</t>
  </si>
  <si>
    <t>367.567</t>
  </si>
  <si>
    <t>365.167</t>
  </si>
  <si>
    <t>358.000</t>
  </si>
  <si>
    <t>345.500</t>
  </si>
  <si>
    <t>333.233</t>
  </si>
  <si>
    <t>315.733</t>
  </si>
  <si>
    <t>312.533</t>
  </si>
  <si>
    <t>309.233</t>
  </si>
  <si>
    <t>303.333</t>
  </si>
  <si>
    <t>241.233</t>
  </si>
  <si>
    <t>239.133</t>
  </si>
  <si>
    <t>236.667</t>
  </si>
  <si>
    <t>208.300</t>
  </si>
  <si>
    <t>Time (s)</t>
  </si>
  <si>
    <t>Time (hh:mm:ss)</t>
  </si>
  <si>
    <t>l</t>
  </si>
  <si>
    <t>Point event</t>
  </si>
  <si>
    <t>s</t>
  </si>
  <si>
    <t>h</t>
  </si>
  <si>
    <t>State event</t>
  </si>
  <si>
    <t>e</t>
  </si>
  <si>
    <t>r</t>
  </si>
  <si>
    <t>KEY</t>
  </si>
  <si>
    <t>CODE</t>
  </si>
  <si>
    <t>DESCRIPTION</t>
  </si>
  <si>
    <t>CATEGORY</t>
  </si>
  <si>
    <t>TYPE</t>
  </si>
  <si>
    <t>Operator verifies the allarm on the MD02 Panel</t>
  </si>
  <si>
    <t>Operator checks the state of the "Start Pompe di Raffredamento button" on the Converter Panel</t>
  </si>
  <si>
    <t>Operator presses the "Apertura Interruttori" button in the Panel Converter</t>
  </si>
  <si>
    <t>Operator calls maintenance worker in the Control Room</t>
  </si>
  <si>
    <t>Operator presses the "Inserione Ausiliare" button in the Panel Converter</t>
  </si>
  <si>
    <t>Operator presses the "Chiusura Interruttore" button in the Panel Converter</t>
  </si>
  <si>
    <t>Operator turns the "Precarica Lever" in the Panel Converter</t>
  </si>
  <si>
    <t>Operator presses "Marcia Forno" button in the Panel Converter</t>
  </si>
  <si>
    <t>Operator presses the "Reset Allarmi" button in the Panel Converter</t>
  </si>
  <si>
    <t>Operator checks if the allarm is OFF in the MD02 Panel</t>
  </si>
  <si>
    <t>Operator listen the TRAINING ASSISTANT</t>
  </si>
  <si>
    <t>Operator speak the TRAINING ASSISTANT</t>
  </si>
  <si>
    <t>Operator procedural the TRAINING ERROR</t>
  </si>
  <si>
    <t>Operator asistant interaction the TRAINING ERROR</t>
  </si>
  <si>
    <t>Operator hesitates WHAT TO 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</si>
</sst>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1F1F1F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0" fillId="0" borderId="0" xfId="0" applyNumberFormat="1"/>
    <xf numFmtId="164" fontId="0" fillId="0" borderId="0" xfId="0" applyNumberFormat="1"/>
    <xf numFmtId="21" fontId="0" fillId="0" borderId="0" xfId="0" applyNumberFormat="1"/>
    <xf numFmtId="0" fontId="1" fillId="0" borderId="0" xfId="0" applyFont="1"/>
    <xf numFmtId="2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4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left" vertical="center" wrapText="1"/>
    </xf>
    <xf numFmtId="0" fontId="0" fillId="0" borderId="0" xfId="0" applyFill="1"/>
    <xf numFmtId="21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zoomScale="115" zoomScaleNormal="115" workbookViewId="0">
      <selection activeCell="H5" sqref="H5:H6"/>
    </sheetView>
  </sheetViews>
  <sheetFormatPr defaultRowHeight="14.5" x14ac:dyDescent="0.35"/>
  <cols>
    <col min="1" max="1" width="14" customWidth="1"/>
    <col min="2" max="2" width="23" customWidth="1"/>
    <col min="3" max="3" width="18" customWidth="1"/>
    <col min="4" max="4" width="26" customWidth="1"/>
    <col min="5" max="5" width="31.7265625" customWidth="1"/>
    <col min="6" max="6" width="13" customWidth="1"/>
    <col min="7" max="7" width="10" customWidth="1"/>
    <col min="8" max="8" width="16.90625" style="7" customWidth="1"/>
    <col min="9" max="9" width="11" customWidth="1"/>
  </cols>
  <sheetData>
    <row r="1" spans="1:9" x14ac:dyDescent="0.35">
      <c r="A1" s="4" t="s">
        <v>0</v>
      </c>
      <c r="B1" s="4" t="s">
        <v>1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209</v>
      </c>
      <c r="H1" s="6" t="s">
        <v>210</v>
      </c>
      <c r="I1" s="4" t="s">
        <v>10</v>
      </c>
    </row>
    <row r="2" spans="1:9" x14ac:dyDescent="0.35">
      <c r="A2" t="s">
        <v>12</v>
      </c>
      <c r="B2" t="s">
        <v>13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5">
        <f>G2/86400</f>
        <v>1.2480671296296296E-3</v>
      </c>
      <c r="I2">
        <v>3235</v>
      </c>
    </row>
    <row r="3" spans="1:9" x14ac:dyDescent="0.35">
      <c r="A3" t="s">
        <v>12</v>
      </c>
      <c r="B3" t="s">
        <v>13</v>
      </c>
      <c r="C3" t="s">
        <v>15</v>
      </c>
      <c r="D3" t="s">
        <v>16</v>
      </c>
      <c r="E3" t="s">
        <v>17</v>
      </c>
      <c r="F3" t="s">
        <v>18</v>
      </c>
      <c r="G3" t="s">
        <v>21</v>
      </c>
      <c r="H3" s="5">
        <f t="shared" ref="H3:H44" si="0">G3/86400</f>
        <v>1.4251504629629629E-3</v>
      </c>
      <c r="I3">
        <v>3694</v>
      </c>
    </row>
    <row r="4" spans="1:9" x14ac:dyDescent="0.35">
      <c r="A4" t="s">
        <v>12</v>
      </c>
      <c r="B4" t="s">
        <v>13</v>
      </c>
      <c r="C4" t="s">
        <v>15</v>
      </c>
      <c r="D4" t="s">
        <v>16</v>
      </c>
      <c r="E4" t="s">
        <v>17</v>
      </c>
      <c r="F4" t="s">
        <v>18</v>
      </c>
      <c r="G4" t="s">
        <v>22</v>
      </c>
      <c r="H4" s="5">
        <f t="shared" si="0"/>
        <v>1.7457523148148148E-3</v>
      </c>
      <c r="I4">
        <v>4525</v>
      </c>
    </row>
    <row r="5" spans="1:9" x14ac:dyDescent="0.35">
      <c r="A5" t="s">
        <v>12</v>
      </c>
      <c r="B5" t="s">
        <v>13</v>
      </c>
      <c r="C5" t="s">
        <v>15</v>
      </c>
      <c r="D5" t="s">
        <v>23</v>
      </c>
      <c r="E5" t="s">
        <v>23</v>
      </c>
      <c r="F5" t="s">
        <v>24</v>
      </c>
      <c r="G5" t="s">
        <v>25</v>
      </c>
      <c r="H5" s="5">
        <f t="shared" si="0"/>
        <v>1.7939814814814815E-3</v>
      </c>
      <c r="I5">
        <v>4650</v>
      </c>
    </row>
    <row r="6" spans="1:9" x14ac:dyDescent="0.35">
      <c r="A6" t="s">
        <v>12</v>
      </c>
      <c r="B6" t="s">
        <v>13</v>
      </c>
      <c r="C6" t="s">
        <v>15</v>
      </c>
      <c r="D6" t="s">
        <v>23</v>
      </c>
      <c r="E6" t="s">
        <v>23</v>
      </c>
      <c r="F6" t="s">
        <v>26</v>
      </c>
      <c r="G6" t="s">
        <v>27</v>
      </c>
      <c r="H6" s="5">
        <f t="shared" si="0"/>
        <v>1.8541666666666665E-3</v>
      </c>
      <c r="I6">
        <v>4806</v>
      </c>
    </row>
    <row r="7" spans="1:9" x14ac:dyDescent="0.35">
      <c r="A7" t="s">
        <v>12</v>
      </c>
      <c r="B7" t="s">
        <v>13</v>
      </c>
      <c r="C7" t="s">
        <v>15</v>
      </c>
      <c r="D7" t="s">
        <v>16</v>
      </c>
      <c r="E7" t="s">
        <v>17</v>
      </c>
      <c r="F7" t="s">
        <v>18</v>
      </c>
      <c r="G7" t="s">
        <v>28</v>
      </c>
      <c r="H7" s="5">
        <f t="shared" si="0"/>
        <v>1.8939004629629631E-3</v>
      </c>
      <c r="I7">
        <v>4909</v>
      </c>
    </row>
    <row r="8" spans="1:9" x14ac:dyDescent="0.35">
      <c r="A8" t="s">
        <v>12</v>
      </c>
      <c r="B8" t="s">
        <v>13</v>
      </c>
      <c r="C8" t="s">
        <v>15</v>
      </c>
      <c r="D8" t="s">
        <v>29</v>
      </c>
      <c r="E8" t="s">
        <v>30</v>
      </c>
      <c r="F8" t="s">
        <v>18</v>
      </c>
      <c r="G8" t="s">
        <v>31</v>
      </c>
      <c r="H8" s="5">
        <f t="shared" si="0"/>
        <v>1.9907407407407408E-3</v>
      </c>
      <c r="I8">
        <v>5160</v>
      </c>
    </row>
    <row r="9" spans="1:9" x14ac:dyDescent="0.35">
      <c r="A9" s="18" t="s">
        <v>12</v>
      </c>
      <c r="B9" s="18" t="s">
        <v>13</v>
      </c>
      <c r="C9" s="18" t="s">
        <v>15</v>
      </c>
      <c r="D9" s="18" t="s">
        <v>32</v>
      </c>
      <c r="E9" s="18" t="s">
        <v>33</v>
      </c>
      <c r="F9" s="18" t="s">
        <v>24</v>
      </c>
      <c r="G9" s="18" t="s">
        <v>34</v>
      </c>
      <c r="H9" s="19">
        <f t="shared" si="0"/>
        <v>2.0312500000000001E-3</v>
      </c>
      <c r="I9">
        <v>5265</v>
      </c>
    </row>
    <row r="10" spans="1:9" x14ac:dyDescent="0.35">
      <c r="A10" s="18" t="s">
        <v>12</v>
      </c>
      <c r="B10" s="18" t="s">
        <v>13</v>
      </c>
      <c r="C10" s="18" t="s">
        <v>15</v>
      </c>
      <c r="D10" s="18" t="s">
        <v>32</v>
      </c>
      <c r="E10" s="18" t="s">
        <v>33</v>
      </c>
      <c r="F10" s="18" t="s">
        <v>26</v>
      </c>
      <c r="G10" s="18" t="s">
        <v>35</v>
      </c>
      <c r="H10" s="19">
        <f t="shared" si="0"/>
        <v>2.1369560185185185E-3</v>
      </c>
      <c r="I10">
        <v>5539</v>
      </c>
    </row>
    <row r="11" spans="1:9" x14ac:dyDescent="0.35">
      <c r="A11" t="s">
        <v>12</v>
      </c>
      <c r="B11" t="s">
        <v>13</v>
      </c>
      <c r="C11" t="s">
        <v>15</v>
      </c>
      <c r="D11" t="s">
        <v>36</v>
      </c>
      <c r="E11" t="s">
        <v>17</v>
      </c>
      <c r="F11" t="s">
        <v>18</v>
      </c>
      <c r="G11" t="s">
        <v>37</v>
      </c>
      <c r="H11" s="5">
        <f t="shared" si="0"/>
        <v>2.1878819444444441E-3</v>
      </c>
      <c r="I11">
        <v>5671</v>
      </c>
    </row>
    <row r="12" spans="1:9" x14ac:dyDescent="0.35">
      <c r="A12" t="s">
        <v>12</v>
      </c>
      <c r="B12" t="s">
        <v>13</v>
      </c>
      <c r="C12" t="s">
        <v>15</v>
      </c>
      <c r="D12" t="s">
        <v>16</v>
      </c>
      <c r="E12" t="s">
        <v>17</v>
      </c>
      <c r="F12" t="s">
        <v>18</v>
      </c>
      <c r="G12" t="s">
        <v>38</v>
      </c>
      <c r="H12" s="5">
        <f t="shared" si="0"/>
        <v>2.4004629629629632E-3</v>
      </c>
      <c r="I12">
        <v>6222</v>
      </c>
    </row>
    <row r="13" spans="1:9" x14ac:dyDescent="0.35">
      <c r="A13" t="s">
        <v>12</v>
      </c>
      <c r="B13" t="s">
        <v>13</v>
      </c>
      <c r="C13" t="s">
        <v>15</v>
      </c>
      <c r="D13" t="s">
        <v>39</v>
      </c>
      <c r="E13" t="s">
        <v>30</v>
      </c>
      <c r="F13" t="s">
        <v>18</v>
      </c>
      <c r="G13" t="s">
        <v>40</v>
      </c>
      <c r="H13" s="5">
        <f t="shared" si="0"/>
        <v>2.4668171296296296E-3</v>
      </c>
      <c r="I13">
        <v>6394</v>
      </c>
    </row>
    <row r="14" spans="1:9" x14ac:dyDescent="0.35">
      <c r="A14" t="s">
        <v>12</v>
      </c>
      <c r="B14" t="s">
        <v>13</v>
      </c>
      <c r="C14" t="s">
        <v>15</v>
      </c>
      <c r="D14" t="s">
        <v>36</v>
      </c>
      <c r="E14" t="s">
        <v>17</v>
      </c>
      <c r="F14" t="s">
        <v>18</v>
      </c>
      <c r="G14" t="s">
        <v>41</v>
      </c>
      <c r="H14" s="5">
        <f t="shared" si="0"/>
        <v>2.5069444444444445E-3</v>
      </c>
      <c r="I14">
        <v>6498</v>
      </c>
    </row>
    <row r="15" spans="1:9" x14ac:dyDescent="0.35">
      <c r="A15" t="s">
        <v>12</v>
      </c>
      <c r="B15" t="s">
        <v>13</v>
      </c>
      <c r="C15" t="s">
        <v>15</v>
      </c>
      <c r="D15" t="s">
        <v>16</v>
      </c>
      <c r="E15" t="s">
        <v>17</v>
      </c>
      <c r="F15" t="s">
        <v>18</v>
      </c>
      <c r="G15" t="s">
        <v>42</v>
      </c>
      <c r="H15" s="5">
        <f t="shared" si="0"/>
        <v>2.5686689814814812E-3</v>
      </c>
      <c r="I15">
        <v>6658</v>
      </c>
    </row>
    <row r="16" spans="1:9" x14ac:dyDescent="0.35">
      <c r="A16" t="s">
        <v>12</v>
      </c>
      <c r="B16" t="s">
        <v>13</v>
      </c>
      <c r="C16" t="s">
        <v>15</v>
      </c>
      <c r="D16" t="s">
        <v>23</v>
      </c>
      <c r="E16" t="s">
        <v>23</v>
      </c>
      <c r="F16" t="s">
        <v>24</v>
      </c>
      <c r="G16" t="s">
        <v>43</v>
      </c>
      <c r="H16" s="5">
        <f t="shared" si="0"/>
        <v>2.6180555555555553E-3</v>
      </c>
      <c r="I16">
        <v>6786</v>
      </c>
    </row>
    <row r="17" spans="1:9" x14ac:dyDescent="0.35">
      <c r="A17" t="s">
        <v>12</v>
      </c>
      <c r="B17" t="s">
        <v>13</v>
      </c>
      <c r="C17" t="s">
        <v>15</v>
      </c>
      <c r="D17" t="s">
        <v>23</v>
      </c>
      <c r="E17" t="s">
        <v>23</v>
      </c>
      <c r="F17" t="s">
        <v>26</v>
      </c>
      <c r="G17" t="s">
        <v>44</v>
      </c>
      <c r="H17" s="5">
        <f t="shared" si="0"/>
        <v>2.8854166666666668E-3</v>
      </c>
      <c r="I17">
        <v>7479</v>
      </c>
    </row>
    <row r="18" spans="1:9" x14ac:dyDescent="0.35">
      <c r="A18" t="s">
        <v>12</v>
      </c>
      <c r="B18" t="s">
        <v>13</v>
      </c>
      <c r="C18" t="s">
        <v>15</v>
      </c>
      <c r="D18" t="s">
        <v>16</v>
      </c>
      <c r="E18" t="s">
        <v>17</v>
      </c>
      <c r="F18" t="s">
        <v>18</v>
      </c>
      <c r="G18" t="s">
        <v>45</v>
      </c>
      <c r="H18" s="5">
        <f t="shared" si="0"/>
        <v>3.1033912037037037E-3</v>
      </c>
      <c r="I18">
        <v>8044</v>
      </c>
    </row>
    <row r="19" spans="1:9" x14ac:dyDescent="0.35">
      <c r="A19" t="s">
        <v>12</v>
      </c>
      <c r="B19" t="s">
        <v>13</v>
      </c>
      <c r="C19" t="s">
        <v>15</v>
      </c>
      <c r="D19" t="s">
        <v>23</v>
      </c>
      <c r="E19" t="s">
        <v>23</v>
      </c>
      <c r="F19" t="s">
        <v>24</v>
      </c>
      <c r="G19" t="s">
        <v>46</v>
      </c>
      <c r="H19" s="5">
        <f t="shared" si="0"/>
        <v>3.1450578703703705E-3</v>
      </c>
      <c r="I19">
        <v>8152</v>
      </c>
    </row>
    <row r="20" spans="1:9" x14ac:dyDescent="0.35">
      <c r="A20" t="s">
        <v>12</v>
      </c>
      <c r="B20" t="s">
        <v>13</v>
      </c>
      <c r="C20" t="s">
        <v>15</v>
      </c>
      <c r="D20" t="s">
        <v>23</v>
      </c>
      <c r="E20" t="s">
        <v>23</v>
      </c>
      <c r="F20" t="s">
        <v>26</v>
      </c>
      <c r="G20" t="s">
        <v>47</v>
      </c>
      <c r="H20" s="5">
        <f t="shared" si="0"/>
        <v>3.162037037037037E-3</v>
      </c>
      <c r="I20">
        <v>8196</v>
      </c>
    </row>
    <row r="21" spans="1:9" x14ac:dyDescent="0.35">
      <c r="A21" t="s">
        <v>12</v>
      </c>
      <c r="B21" t="s">
        <v>13</v>
      </c>
      <c r="C21" t="s">
        <v>15</v>
      </c>
      <c r="D21" t="s">
        <v>48</v>
      </c>
      <c r="E21" t="s">
        <v>30</v>
      </c>
      <c r="F21" t="s">
        <v>18</v>
      </c>
      <c r="G21" t="s">
        <v>49</v>
      </c>
      <c r="H21" s="5">
        <f t="shared" si="0"/>
        <v>3.2935995370370372E-3</v>
      </c>
      <c r="I21">
        <v>8537</v>
      </c>
    </row>
    <row r="22" spans="1:9" x14ac:dyDescent="0.35">
      <c r="A22" t="s">
        <v>12</v>
      </c>
      <c r="B22" t="s">
        <v>13</v>
      </c>
      <c r="C22" t="s">
        <v>15</v>
      </c>
      <c r="D22" t="s">
        <v>16</v>
      </c>
      <c r="E22" t="s">
        <v>17</v>
      </c>
      <c r="F22" t="s">
        <v>18</v>
      </c>
      <c r="G22" t="s">
        <v>50</v>
      </c>
      <c r="H22" s="5">
        <f t="shared" si="0"/>
        <v>3.3642013888888884E-3</v>
      </c>
      <c r="I22">
        <v>8720</v>
      </c>
    </row>
    <row r="23" spans="1:9" x14ac:dyDescent="0.35">
      <c r="A23" t="s">
        <v>12</v>
      </c>
      <c r="B23" t="s">
        <v>13</v>
      </c>
      <c r="C23" t="s">
        <v>15</v>
      </c>
      <c r="D23" t="s">
        <v>16</v>
      </c>
      <c r="E23" t="s">
        <v>17</v>
      </c>
      <c r="F23" t="s">
        <v>18</v>
      </c>
      <c r="G23" t="s">
        <v>51</v>
      </c>
      <c r="H23" s="5">
        <f t="shared" si="0"/>
        <v>3.5258449074074072E-3</v>
      </c>
      <c r="I23">
        <v>9140</v>
      </c>
    </row>
    <row r="24" spans="1:9" x14ac:dyDescent="0.35">
      <c r="A24" t="s">
        <v>12</v>
      </c>
      <c r="B24" t="s">
        <v>13</v>
      </c>
      <c r="C24" t="s">
        <v>15</v>
      </c>
      <c r="D24" t="s">
        <v>52</v>
      </c>
      <c r="E24" t="s">
        <v>30</v>
      </c>
      <c r="F24" t="s">
        <v>18</v>
      </c>
      <c r="G24" t="s">
        <v>53</v>
      </c>
      <c r="H24" s="5">
        <f t="shared" si="0"/>
        <v>3.6276967592592593E-3</v>
      </c>
      <c r="I24">
        <v>9403</v>
      </c>
    </row>
    <row r="25" spans="1:9" x14ac:dyDescent="0.35">
      <c r="A25" t="s">
        <v>12</v>
      </c>
      <c r="B25" t="s">
        <v>13</v>
      </c>
      <c r="C25" t="s">
        <v>15</v>
      </c>
      <c r="D25" t="s">
        <v>23</v>
      </c>
      <c r="E25" t="s">
        <v>23</v>
      </c>
      <c r="F25" t="s">
        <v>24</v>
      </c>
      <c r="G25" t="s">
        <v>54</v>
      </c>
      <c r="H25" s="5">
        <f t="shared" si="0"/>
        <v>3.6593402777777774E-3</v>
      </c>
      <c r="I25">
        <v>9485</v>
      </c>
    </row>
    <row r="26" spans="1:9" x14ac:dyDescent="0.35">
      <c r="A26" t="s">
        <v>12</v>
      </c>
      <c r="B26" t="s">
        <v>13</v>
      </c>
      <c r="C26" t="s">
        <v>15</v>
      </c>
      <c r="D26" t="s">
        <v>23</v>
      </c>
      <c r="E26" t="s">
        <v>23</v>
      </c>
      <c r="F26" t="s">
        <v>26</v>
      </c>
      <c r="G26" t="s">
        <v>55</v>
      </c>
      <c r="H26" s="5">
        <f t="shared" si="0"/>
        <v>3.7148958333333331E-3</v>
      </c>
      <c r="I26">
        <v>9629</v>
      </c>
    </row>
    <row r="27" spans="1:9" x14ac:dyDescent="0.35">
      <c r="A27" t="s">
        <v>12</v>
      </c>
      <c r="B27" t="s">
        <v>13</v>
      </c>
      <c r="C27" t="s">
        <v>15</v>
      </c>
      <c r="D27" t="s">
        <v>16</v>
      </c>
      <c r="E27" t="s">
        <v>17</v>
      </c>
      <c r="F27" t="s">
        <v>18</v>
      </c>
      <c r="G27" t="s">
        <v>56</v>
      </c>
      <c r="H27" s="5">
        <f t="shared" si="0"/>
        <v>3.9992245370370372E-3</v>
      </c>
      <c r="I27">
        <v>10366</v>
      </c>
    </row>
    <row r="28" spans="1:9" x14ac:dyDescent="0.35">
      <c r="A28" t="s">
        <v>12</v>
      </c>
      <c r="B28" t="s">
        <v>13</v>
      </c>
      <c r="C28" t="s">
        <v>15</v>
      </c>
      <c r="D28" t="s">
        <v>16</v>
      </c>
      <c r="E28" t="s">
        <v>17</v>
      </c>
      <c r="F28" t="s">
        <v>18</v>
      </c>
      <c r="G28" t="s">
        <v>57</v>
      </c>
      <c r="H28" s="5">
        <f t="shared" si="0"/>
        <v>4.5042476851851849E-3</v>
      </c>
      <c r="I28">
        <v>11675</v>
      </c>
    </row>
    <row r="29" spans="1:9" x14ac:dyDescent="0.35">
      <c r="A29" t="s">
        <v>12</v>
      </c>
      <c r="B29" t="s">
        <v>13</v>
      </c>
      <c r="C29" t="s">
        <v>15</v>
      </c>
      <c r="D29" t="s">
        <v>32</v>
      </c>
      <c r="E29" t="s">
        <v>33</v>
      </c>
      <c r="F29" t="s">
        <v>24</v>
      </c>
      <c r="G29" t="s">
        <v>58</v>
      </c>
      <c r="H29" s="5">
        <f t="shared" si="0"/>
        <v>4.5964467592592593E-3</v>
      </c>
      <c r="I29">
        <v>11914</v>
      </c>
    </row>
    <row r="30" spans="1:9" x14ac:dyDescent="0.35">
      <c r="A30" t="s">
        <v>12</v>
      </c>
      <c r="B30" t="s">
        <v>13</v>
      </c>
      <c r="C30" t="s">
        <v>15</v>
      </c>
      <c r="D30" t="s">
        <v>23</v>
      </c>
      <c r="E30" t="s">
        <v>23</v>
      </c>
      <c r="F30" t="s">
        <v>24</v>
      </c>
      <c r="G30" t="s">
        <v>59</v>
      </c>
      <c r="H30" s="5">
        <f t="shared" si="0"/>
        <v>4.6682060185185186E-3</v>
      </c>
      <c r="I30">
        <v>12101</v>
      </c>
    </row>
    <row r="31" spans="1:9" x14ac:dyDescent="0.35">
      <c r="A31" t="s">
        <v>12</v>
      </c>
      <c r="B31" t="s">
        <v>13</v>
      </c>
      <c r="C31" t="s">
        <v>15</v>
      </c>
      <c r="D31" t="s">
        <v>23</v>
      </c>
      <c r="E31" t="s">
        <v>23</v>
      </c>
      <c r="F31" t="s">
        <v>26</v>
      </c>
      <c r="G31" t="s">
        <v>60</v>
      </c>
      <c r="H31" s="5">
        <f t="shared" si="0"/>
        <v>4.717974537037037E-3</v>
      </c>
      <c r="I31">
        <v>12229</v>
      </c>
    </row>
    <row r="32" spans="1:9" x14ac:dyDescent="0.35">
      <c r="A32" t="s">
        <v>12</v>
      </c>
      <c r="B32" t="s">
        <v>13</v>
      </c>
      <c r="C32" t="s">
        <v>15</v>
      </c>
      <c r="D32" t="s">
        <v>61</v>
      </c>
      <c r="E32" t="s">
        <v>30</v>
      </c>
      <c r="F32" t="s">
        <v>18</v>
      </c>
      <c r="G32" t="s">
        <v>62</v>
      </c>
      <c r="H32" s="5">
        <f t="shared" si="0"/>
        <v>4.8009259259259264E-3</v>
      </c>
      <c r="I32">
        <v>12444</v>
      </c>
    </row>
    <row r="33" spans="1:9" x14ac:dyDescent="0.35">
      <c r="A33" t="s">
        <v>12</v>
      </c>
      <c r="B33" t="s">
        <v>13</v>
      </c>
      <c r="C33" t="s">
        <v>15</v>
      </c>
      <c r="D33" t="s">
        <v>63</v>
      </c>
      <c r="E33" t="s">
        <v>30</v>
      </c>
      <c r="F33" t="s">
        <v>18</v>
      </c>
      <c r="G33" t="s">
        <v>64</v>
      </c>
      <c r="H33" s="5">
        <f t="shared" si="0"/>
        <v>4.9239930555555556E-3</v>
      </c>
      <c r="I33">
        <v>12763</v>
      </c>
    </row>
    <row r="34" spans="1:9" x14ac:dyDescent="0.35">
      <c r="A34" t="s">
        <v>12</v>
      </c>
      <c r="B34" t="s">
        <v>13</v>
      </c>
      <c r="C34" t="s">
        <v>15</v>
      </c>
      <c r="D34" t="s">
        <v>65</v>
      </c>
      <c r="E34" t="s">
        <v>30</v>
      </c>
      <c r="F34" t="s">
        <v>18</v>
      </c>
      <c r="G34" t="s">
        <v>66</v>
      </c>
      <c r="H34" s="5">
        <f t="shared" si="0"/>
        <v>5.0042476851851854E-3</v>
      </c>
      <c r="I34">
        <v>12971</v>
      </c>
    </row>
    <row r="35" spans="1:9" x14ac:dyDescent="0.35">
      <c r="A35" t="s">
        <v>12</v>
      </c>
      <c r="B35" t="s">
        <v>13</v>
      </c>
      <c r="C35" t="s">
        <v>15</v>
      </c>
      <c r="D35" t="s">
        <v>32</v>
      </c>
      <c r="E35" t="s">
        <v>33</v>
      </c>
      <c r="F35" t="s">
        <v>26</v>
      </c>
      <c r="G35" t="s">
        <v>67</v>
      </c>
      <c r="H35" s="5">
        <f t="shared" si="0"/>
        <v>5.2870370370370371E-3</v>
      </c>
      <c r="I35">
        <v>13704</v>
      </c>
    </row>
    <row r="36" spans="1:9" x14ac:dyDescent="0.35">
      <c r="A36" t="s">
        <v>12</v>
      </c>
      <c r="B36" t="s">
        <v>13</v>
      </c>
      <c r="C36" t="s">
        <v>15</v>
      </c>
      <c r="D36" t="s">
        <v>36</v>
      </c>
      <c r="E36" t="s">
        <v>17</v>
      </c>
      <c r="F36" t="s">
        <v>18</v>
      </c>
      <c r="G36" t="s">
        <v>68</v>
      </c>
      <c r="H36" s="5">
        <f t="shared" si="0"/>
        <v>5.3310185185185188E-3</v>
      </c>
      <c r="I36">
        <v>13818</v>
      </c>
    </row>
    <row r="37" spans="1:9" x14ac:dyDescent="0.35">
      <c r="A37" t="s">
        <v>12</v>
      </c>
      <c r="B37" t="s">
        <v>13</v>
      </c>
      <c r="C37" t="s">
        <v>15</v>
      </c>
      <c r="D37" t="s">
        <v>69</v>
      </c>
      <c r="E37" t="s">
        <v>30</v>
      </c>
      <c r="F37" t="s">
        <v>18</v>
      </c>
      <c r="G37" t="s">
        <v>70</v>
      </c>
      <c r="H37" s="5">
        <f t="shared" si="0"/>
        <v>5.4255439814814817E-3</v>
      </c>
      <c r="I37">
        <v>14063</v>
      </c>
    </row>
    <row r="38" spans="1:9" x14ac:dyDescent="0.35">
      <c r="A38" t="s">
        <v>12</v>
      </c>
      <c r="B38" t="s">
        <v>13</v>
      </c>
      <c r="C38" t="s">
        <v>15</v>
      </c>
      <c r="D38" t="s">
        <v>16</v>
      </c>
      <c r="E38" t="s">
        <v>17</v>
      </c>
      <c r="F38" t="s">
        <v>18</v>
      </c>
      <c r="G38" t="s">
        <v>71</v>
      </c>
      <c r="H38" s="5">
        <f t="shared" si="0"/>
        <v>5.4656597222222224E-3</v>
      </c>
      <c r="I38">
        <v>14167</v>
      </c>
    </row>
    <row r="39" spans="1:9" x14ac:dyDescent="0.35">
      <c r="A39" t="s">
        <v>12</v>
      </c>
      <c r="B39" t="s">
        <v>13</v>
      </c>
      <c r="C39" t="s">
        <v>15</v>
      </c>
      <c r="D39" t="s">
        <v>72</v>
      </c>
      <c r="E39" t="s">
        <v>30</v>
      </c>
      <c r="F39" t="s">
        <v>18</v>
      </c>
      <c r="G39" t="s">
        <v>73</v>
      </c>
      <c r="H39" s="5">
        <f t="shared" si="0"/>
        <v>5.4911226851851848E-3</v>
      </c>
      <c r="I39">
        <v>14233</v>
      </c>
    </row>
    <row r="40" spans="1:9" x14ac:dyDescent="0.35">
      <c r="A40" t="s">
        <v>12</v>
      </c>
      <c r="B40" t="s">
        <v>13</v>
      </c>
      <c r="C40" t="s">
        <v>15</v>
      </c>
      <c r="D40" t="s">
        <v>74</v>
      </c>
      <c r="E40" t="s">
        <v>33</v>
      </c>
      <c r="F40" t="s">
        <v>24</v>
      </c>
      <c r="G40" t="s">
        <v>75</v>
      </c>
      <c r="H40" s="5">
        <f t="shared" si="0"/>
        <v>5.8171296296296296E-3</v>
      </c>
      <c r="I40">
        <v>15079</v>
      </c>
    </row>
    <row r="41" spans="1:9" x14ac:dyDescent="0.35">
      <c r="A41" t="s">
        <v>12</v>
      </c>
      <c r="B41" t="s">
        <v>13</v>
      </c>
      <c r="C41" t="s">
        <v>15</v>
      </c>
      <c r="D41" t="s">
        <v>74</v>
      </c>
      <c r="E41" t="s">
        <v>33</v>
      </c>
      <c r="F41" t="s">
        <v>26</v>
      </c>
      <c r="G41" t="s">
        <v>76</v>
      </c>
      <c r="H41" s="5">
        <f t="shared" si="0"/>
        <v>5.8503124999999996E-3</v>
      </c>
      <c r="I41">
        <v>15164</v>
      </c>
    </row>
    <row r="42" spans="1:9" x14ac:dyDescent="0.35">
      <c r="A42" t="s">
        <v>12</v>
      </c>
      <c r="B42" t="s">
        <v>13</v>
      </c>
      <c r="C42" t="s">
        <v>15</v>
      </c>
      <c r="D42" t="s">
        <v>16</v>
      </c>
      <c r="E42" t="s">
        <v>17</v>
      </c>
      <c r="F42" t="s">
        <v>18</v>
      </c>
      <c r="G42" t="s">
        <v>77</v>
      </c>
      <c r="H42" s="5">
        <f t="shared" si="0"/>
        <v>5.8939004629629628E-3</v>
      </c>
      <c r="I42">
        <v>15277</v>
      </c>
    </row>
    <row r="43" spans="1:9" x14ac:dyDescent="0.35">
      <c r="A43" t="s">
        <v>12</v>
      </c>
      <c r="B43" t="s">
        <v>13</v>
      </c>
      <c r="C43" t="s">
        <v>15</v>
      </c>
      <c r="D43" t="s">
        <v>78</v>
      </c>
      <c r="E43" t="s">
        <v>30</v>
      </c>
      <c r="F43" t="s">
        <v>18</v>
      </c>
      <c r="G43" t="s">
        <v>79</v>
      </c>
      <c r="H43" s="5">
        <f t="shared" si="0"/>
        <v>5.9359606481481477E-3</v>
      </c>
      <c r="I43">
        <v>15386</v>
      </c>
    </row>
    <row r="44" spans="1:9" x14ac:dyDescent="0.35">
      <c r="A44" t="s">
        <v>12</v>
      </c>
      <c r="B44" t="s">
        <v>13</v>
      </c>
      <c r="C44" t="s">
        <v>15</v>
      </c>
      <c r="D44" t="s">
        <v>36</v>
      </c>
      <c r="E44" t="s">
        <v>17</v>
      </c>
      <c r="F44" t="s">
        <v>18</v>
      </c>
      <c r="G44" t="s">
        <v>80</v>
      </c>
      <c r="H44" s="5">
        <f t="shared" si="0"/>
        <v>6.032025462962963E-3</v>
      </c>
      <c r="I44">
        <v>15635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BB029-B81C-4202-9252-D4009ADC852C}">
  <dimension ref="A1:H43"/>
  <sheetViews>
    <sheetView zoomScale="85" zoomScaleNormal="85" workbookViewId="0">
      <selection activeCell="D12" sqref="D12"/>
    </sheetView>
  </sheetViews>
  <sheetFormatPr defaultRowHeight="14.5" x14ac:dyDescent="0.35"/>
  <cols>
    <col min="1" max="1" width="27.26953125" customWidth="1"/>
    <col min="2" max="2" width="17.6328125" customWidth="1"/>
    <col min="3" max="3" width="22.6328125" customWidth="1"/>
    <col min="4" max="4" width="22" customWidth="1"/>
    <col min="5" max="6" width="19.7265625" customWidth="1"/>
    <col min="7" max="7" width="19.6328125" customWidth="1"/>
    <col min="8" max="8" width="14.90625" customWidth="1"/>
  </cols>
  <sheetData>
    <row r="1" spans="1:8" x14ac:dyDescent="0.35">
      <c r="A1" t="s">
        <v>0</v>
      </c>
      <c r="B1" s="4" t="s">
        <v>7</v>
      </c>
      <c r="C1" s="4" t="s">
        <v>8</v>
      </c>
      <c r="D1" s="4" t="s">
        <v>9</v>
      </c>
      <c r="E1" s="4" t="s">
        <v>209</v>
      </c>
      <c r="F1" s="4" t="s">
        <v>210</v>
      </c>
      <c r="G1" s="4" t="s">
        <v>10</v>
      </c>
      <c r="H1" s="4" t="s">
        <v>11</v>
      </c>
    </row>
    <row r="2" spans="1:8" x14ac:dyDescent="0.35">
      <c r="A2" s="1" t="s">
        <v>81</v>
      </c>
      <c r="B2" t="s">
        <v>16</v>
      </c>
      <c r="C2" t="s">
        <v>17</v>
      </c>
      <c r="D2" t="s">
        <v>18</v>
      </c>
      <c r="E2" t="s">
        <v>82</v>
      </c>
      <c r="F2" s="5">
        <f>E2/86400</f>
        <v>3.0895023148148149E-3</v>
      </c>
      <c r="G2">
        <v>8008</v>
      </c>
      <c r="H2" t="s">
        <v>20</v>
      </c>
    </row>
    <row r="3" spans="1:8" x14ac:dyDescent="0.35">
      <c r="A3" t="s">
        <v>81</v>
      </c>
      <c r="B3" t="s">
        <v>16</v>
      </c>
      <c r="C3" t="s">
        <v>17</v>
      </c>
      <c r="D3" t="s">
        <v>18</v>
      </c>
      <c r="E3" t="s">
        <v>83</v>
      </c>
      <c r="F3" s="5">
        <f t="shared" ref="F3:F43" si="0">E3/86400</f>
        <v>3.4386574074074076E-3</v>
      </c>
      <c r="G3">
        <v>8913</v>
      </c>
      <c r="H3" t="s">
        <v>20</v>
      </c>
    </row>
    <row r="4" spans="1:8" x14ac:dyDescent="0.35">
      <c r="A4" s="1" t="s">
        <v>81</v>
      </c>
      <c r="B4" t="s">
        <v>16</v>
      </c>
      <c r="C4" t="s">
        <v>17</v>
      </c>
      <c r="D4" t="s">
        <v>18</v>
      </c>
      <c r="E4" t="s">
        <v>84</v>
      </c>
      <c r="F4" s="5">
        <f t="shared" si="0"/>
        <v>4.626157407407407E-3</v>
      </c>
      <c r="G4">
        <v>11991</v>
      </c>
      <c r="H4" t="s">
        <v>20</v>
      </c>
    </row>
    <row r="5" spans="1:8" x14ac:dyDescent="0.35">
      <c r="A5" t="s">
        <v>81</v>
      </c>
      <c r="B5" t="s">
        <v>16</v>
      </c>
      <c r="C5" t="s">
        <v>17</v>
      </c>
      <c r="D5" t="s">
        <v>18</v>
      </c>
      <c r="E5" t="s">
        <v>85</v>
      </c>
      <c r="F5" s="5">
        <f t="shared" si="0"/>
        <v>4.9035532407407404E-3</v>
      </c>
      <c r="G5">
        <v>12710</v>
      </c>
      <c r="H5" t="s">
        <v>20</v>
      </c>
    </row>
    <row r="6" spans="1:8" x14ac:dyDescent="0.35">
      <c r="A6" s="1" t="s">
        <v>81</v>
      </c>
      <c r="B6" t="s">
        <v>29</v>
      </c>
      <c r="C6" t="s">
        <v>30</v>
      </c>
      <c r="D6" t="s">
        <v>18</v>
      </c>
      <c r="E6" t="s">
        <v>86</v>
      </c>
      <c r="F6" s="5">
        <f t="shared" si="0"/>
        <v>4.9803240740740745E-3</v>
      </c>
      <c r="G6">
        <v>12909</v>
      </c>
      <c r="H6" t="s">
        <v>20</v>
      </c>
    </row>
    <row r="7" spans="1:8" x14ac:dyDescent="0.35">
      <c r="A7" t="s">
        <v>81</v>
      </c>
      <c r="B7" t="s">
        <v>32</v>
      </c>
      <c r="C7" t="s">
        <v>33</v>
      </c>
      <c r="D7" t="s">
        <v>24</v>
      </c>
      <c r="E7" t="s">
        <v>87</v>
      </c>
      <c r="F7" s="5">
        <f t="shared" si="0"/>
        <v>5.0351041666666669E-3</v>
      </c>
      <c r="G7">
        <v>13051</v>
      </c>
      <c r="H7" t="s">
        <v>20</v>
      </c>
    </row>
    <row r="8" spans="1:8" x14ac:dyDescent="0.35">
      <c r="A8" s="1" t="s">
        <v>81</v>
      </c>
      <c r="B8" t="s">
        <v>32</v>
      </c>
      <c r="C8" t="s">
        <v>33</v>
      </c>
      <c r="D8" t="s">
        <v>26</v>
      </c>
      <c r="E8" t="s">
        <v>88</v>
      </c>
      <c r="F8" s="5">
        <f t="shared" si="0"/>
        <v>5.0937500000000002E-3</v>
      </c>
      <c r="G8">
        <v>13203</v>
      </c>
      <c r="H8" t="s">
        <v>20</v>
      </c>
    </row>
    <row r="9" spans="1:8" x14ac:dyDescent="0.35">
      <c r="A9" t="s">
        <v>81</v>
      </c>
      <c r="B9" t="s">
        <v>36</v>
      </c>
      <c r="C9" t="s">
        <v>17</v>
      </c>
      <c r="D9" t="s">
        <v>18</v>
      </c>
      <c r="E9" t="s">
        <v>89</v>
      </c>
      <c r="F9" s="5">
        <f t="shared" si="0"/>
        <v>5.155868055555555E-3</v>
      </c>
      <c r="G9">
        <v>13364</v>
      </c>
      <c r="H9" t="s">
        <v>20</v>
      </c>
    </row>
    <row r="10" spans="1:8" x14ac:dyDescent="0.35">
      <c r="A10" s="1" t="s">
        <v>81</v>
      </c>
      <c r="B10" t="s">
        <v>16</v>
      </c>
      <c r="C10" t="s">
        <v>17</v>
      </c>
      <c r="D10" t="s">
        <v>18</v>
      </c>
      <c r="E10" t="s">
        <v>90</v>
      </c>
      <c r="F10" s="5">
        <f t="shared" si="0"/>
        <v>5.5397337962962961E-3</v>
      </c>
      <c r="G10">
        <v>14359</v>
      </c>
      <c r="H10" t="s">
        <v>20</v>
      </c>
    </row>
    <row r="11" spans="1:8" x14ac:dyDescent="0.35">
      <c r="A11" t="s">
        <v>81</v>
      </c>
      <c r="B11" t="s">
        <v>23</v>
      </c>
      <c r="C11" t="s">
        <v>23</v>
      </c>
      <c r="D11" t="s">
        <v>24</v>
      </c>
      <c r="E11" t="s">
        <v>91</v>
      </c>
      <c r="F11" s="5">
        <f t="shared" si="0"/>
        <v>5.6956018518518519E-3</v>
      </c>
      <c r="G11">
        <v>14763</v>
      </c>
      <c r="H11" t="s">
        <v>20</v>
      </c>
    </row>
    <row r="12" spans="1:8" x14ac:dyDescent="0.35">
      <c r="A12" s="1" t="s">
        <v>81</v>
      </c>
      <c r="B12" t="s">
        <v>23</v>
      </c>
      <c r="C12" t="s">
        <v>23</v>
      </c>
      <c r="D12" t="s">
        <v>26</v>
      </c>
      <c r="E12" t="s">
        <v>92</v>
      </c>
      <c r="F12" s="5">
        <f t="shared" si="0"/>
        <v>5.8699884259259252E-3</v>
      </c>
      <c r="G12">
        <v>15215</v>
      </c>
      <c r="H12" t="s">
        <v>20</v>
      </c>
    </row>
    <row r="13" spans="1:8" x14ac:dyDescent="0.35">
      <c r="A13" t="s">
        <v>81</v>
      </c>
      <c r="B13" t="s">
        <v>39</v>
      </c>
      <c r="C13" t="s">
        <v>30</v>
      </c>
      <c r="D13" t="s">
        <v>18</v>
      </c>
      <c r="E13" t="s">
        <v>93</v>
      </c>
      <c r="F13" s="5">
        <f t="shared" si="0"/>
        <v>5.9351851851851848E-3</v>
      </c>
      <c r="G13">
        <v>15384</v>
      </c>
      <c r="H13" t="s">
        <v>20</v>
      </c>
    </row>
    <row r="14" spans="1:8" x14ac:dyDescent="0.35">
      <c r="A14" s="1" t="s">
        <v>81</v>
      </c>
      <c r="B14" t="s">
        <v>23</v>
      </c>
      <c r="C14" t="s">
        <v>23</v>
      </c>
      <c r="D14" t="s">
        <v>24</v>
      </c>
      <c r="E14" t="s">
        <v>94</v>
      </c>
      <c r="F14" s="5">
        <f t="shared" si="0"/>
        <v>6.0208333333333338E-3</v>
      </c>
      <c r="G14">
        <v>15606</v>
      </c>
      <c r="H14" t="s">
        <v>20</v>
      </c>
    </row>
    <row r="15" spans="1:8" x14ac:dyDescent="0.35">
      <c r="A15" t="s">
        <v>81</v>
      </c>
      <c r="B15" t="s">
        <v>23</v>
      </c>
      <c r="C15" t="s">
        <v>23</v>
      </c>
      <c r="D15" t="s">
        <v>26</v>
      </c>
      <c r="E15" t="s">
        <v>95</v>
      </c>
      <c r="F15" s="5">
        <f t="shared" si="0"/>
        <v>6.0860300925925925E-3</v>
      </c>
      <c r="G15">
        <v>15775</v>
      </c>
      <c r="H15" t="s">
        <v>20</v>
      </c>
    </row>
    <row r="16" spans="1:8" x14ac:dyDescent="0.35">
      <c r="A16" s="1" t="s">
        <v>81</v>
      </c>
      <c r="B16" t="s">
        <v>16</v>
      </c>
      <c r="C16" t="s">
        <v>17</v>
      </c>
      <c r="D16" t="s">
        <v>18</v>
      </c>
      <c r="E16" t="s">
        <v>96</v>
      </c>
      <c r="F16" s="5">
        <f t="shared" si="0"/>
        <v>6.9679745370370373E-3</v>
      </c>
      <c r="G16">
        <v>18061</v>
      </c>
      <c r="H16" t="s">
        <v>20</v>
      </c>
    </row>
    <row r="17" spans="1:8" x14ac:dyDescent="0.35">
      <c r="A17" t="s">
        <v>81</v>
      </c>
      <c r="B17" t="s">
        <v>48</v>
      </c>
      <c r="C17" t="s">
        <v>30</v>
      </c>
      <c r="D17" t="s">
        <v>18</v>
      </c>
      <c r="E17" t="s">
        <v>97</v>
      </c>
      <c r="F17" s="5">
        <f t="shared" si="0"/>
        <v>7.4267013888888889E-3</v>
      </c>
      <c r="G17">
        <v>19250</v>
      </c>
      <c r="H17" t="s">
        <v>20</v>
      </c>
    </row>
    <row r="18" spans="1:8" x14ac:dyDescent="0.35">
      <c r="A18" s="1" t="s">
        <v>81</v>
      </c>
      <c r="B18" t="s">
        <v>23</v>
      </c>
      <c r="C18" t="s">
        <v>23</v>
      </c>
      <c r="D18" t="s">
        <v>24</v>
      </c>
      <c r="E18" t="s">
        <v>98</v>
      </c>
      <c r="F18" s="5">
        <f t="shared" si="0"/>
        <v>7.5165856481481481E-3</v>
      </c>
      <c r="G18">
        <v>19482</v>
      </c>
      <c r="H18" t="s">
        <v>20</v>
      </c>
    </row>
    <row r="19" spans="1:8" x14ac:dyDescent="0.35">
      <c r="A19" t="s">
        <v>81</v>
      </c>
      <c r="B19" t="s">
        <v>23</v>
      </c>
      <c r="C19" t="s">
        <v>23</v>
      </c>
      <c r="D19" t="s">
        <v>26</v>
      </c>
      <c r="E19" t="s">
        <v>99</v>
      </c>
      <c r="F19" s="5">
        <f t="shared" si="0"/>
        <v>7.5891203703703711E-3</v>
      </c>
      <c r="G19">
        <v>19670</v>
      </c>
      <c r="H19" t="s">
        <v>20</v>
      </c>
    </row>
    <row r="20" spans="1:8" x14ac:dyDescent="0.35">
      <c r="A20" s="1" t="s">
        <v>81</v>
      </c>
      <c r="B20" t="s">
        <v>16</v>
      </c>
      <c r="C20" t="s">
        <v>17</v>
      </c>
      <c r="D20" t="s">
        <v>18</v>
      </c>
      <c r="E20" t="s">
        <v>100</v>
      </c>
      <c r="F20" s="5">
        <f t="shared" si="0"/>
        <v>8.7442129629629623E-3</v>
      </c>
      <c r="G20">
        <v>22664</v>
      </c>
      <c r="H20" t="s">
        <v>20</v>
      </c>
    </row>
    <row r="21" spans="1:8" x14ac:dyDescent="0.35">
      <c r="A21" t="s">
        <v>81</v>
      </c>
      <c r="B21" t="s">
        <v>23</v>
      </c>
      <c r="C21" t="s">
        <v>23</v>
      </c>
      <c r="D21" t="s">
        <v>24</v>
      </c>
      <c r="E21" t="s">
        <v>101</v>
      </c>
      <c r="F21" s="5">
        <f t="shared" si="0"/>
        <v>9.1523958333333336E-3</v>
      </c>
      <c r="G21">
        <v>23722</v>
      </c>
      <c r="H21" t="s">
        <v>20</v>
      </c>
    </row>
    <row r="22" spans="1:8" x14ac:dyDescent="0.35">
      <c r="A22" s="1" t="s">
        <v>81</v>
      </c>
      <c r="B22" t="s">
        <v>23</v>
      </c>
      <c r="C22" t="s">
        <v>23</v>
      </c>
      <c r="D22" t="s">
        <v>26</v>
      </c>
      <c r="E22" t="s">
        <v>102</v>
      </c>
      <c r="F22" s="5">
        <f t="shared" si="0"/>
        <v>9.1901967592592591E-3</v>
      </c>
      <c r="G22">
        <v>23820</v>
      </c>
      <c r="H22" t="s">
        <v>20</v>
      </c>
    </row>
    <row r="23" spans="1:8" x14ac:dyDescent="0.35">
      <c r="A23" t="s">
        <v>81</v>
      </c>
      <c r="B23" t="s">
        <v>52</v>
      </c>
      <c r="C23" t="s">
        <v>30</v>
      </c>
      <c r="D23" t="s">
        <v>18</v>
      </c>
      <c r="E23" t="s">
        <v>103</v>
      </c>
      <c r="F23" s="5">
        <f t="shared" si="0"/>
        <v>9.3564814814814812E-3</v>
      </c>
      <c r="G23">
        <v>24251</v>
      </c>
      <c r="H23" t="s">
        <v>20</v>
      </c>
    </row>
    <row r="24" spans="1:8" x14ac:dyDescent="0.35">
      <c r="A24" s="1" t="s">
        <v>81</v>
      </c>
      <c r="B24" t="s">
        <v>23</v>
      </c>
      <c r="C24" t="s">
        <v>23</v>
      </c>
      <c r="D24" t="s">
        <v>24</v>
      </c>
      <c r="E24" t="s">
        <v>104</v>
      </c>
      <c r="F24" s="5">
        <f t="shared" si="0"/>
        <v>9.5914351851851855E-3</v>
      </c>
      <c r="G24">
        <v>24860</v>
      </c>
      <c r="H24" t="s">
        <v>20</v>
      </c>
    </row>
    <row r="25" spans="1:8" x14ac:dyDescent="0.35">
      <c r="A25" t="s">
        <v>81</v>
      </c>
      <c r="B25" t="s">
        <v>23</v>
      </c>
      <c r="C25" t="s">
        <v>23</v>
      </c>
      <c r="D25" t="s">
        <v>26</v>
      </c>
      <c r="E25" t="s">
        <v>105</v>
      </c>
      <c r="F25" s="5">
        <f t="shared" si="0"/>
        <v>9.669363425925925E-3</v>
      </c>
      <c r="G25">
        <v>25062</v>
      </c>
      <c r="H25" t="s">
        <v>20</v>
      </c>
    </row>
    <row r="26" spans="1:8" x14ac:dyDescent="0.35">
      <c r="A26" s="1" t="s">
        <v>81</v>
      </c>
      <c r="B26" t="s">
        <v>16</v>
      </c>
      <c r="C26" t="s">
        <v>17</v>
      </c>
      <c r="D26" t="s">
        <v>18</v>
      </c>
      <c r="E26" t="s">
        <v>106</v>
      </c>
      <c r="F26" s="5">
        <f t="shared" si="0"/>
        <v>1.0127314814814815E-2</v>
      </c>
      <c r="G26">
        <v>26249</v>
      </c>
      <c r="H26" t="s">
        <v>20</v>
      </c>
    </row>
    <row r="27" spans="1:8" x14ac:dyDescent="0.35">
      <c r="A27" t="s">
        <v>81</v>
      </c>
      <c r="B27" t="s">
        <v>23</v>
      </c>
      <c r="C27" t="s">
        <v>23</v>
      </c>
      <c r="D27" t="s">
        <v>24</v>
      </c>
      <c r="E27" t="s">
        <v>107</v>
      </c>
      <c r="F27" s="5">
        <f t="shared" si="0"/>
        <v>1.0558252314814814E-2</v>
      </c>
      <c r="G27">
        <v>27366</v>
      </c>
      <c r="H27" t="s">
        <v>20</v>
      </c>
    </row>
    <row r="28" spans="1:8" x14ac:dyDescent="0.35">
      <c r="A28" s="1" t="s">
        <v>81</v>
      </c>
      <c r="B28" t="s">
        <v>23</v>
      </c>
      <c r="C28" t="s">
        <v>23</v>
      </c>
      <c r="D28" t="s">
        <v>26</v>
      </c>
      <c r="E28" t="s">
        <v>108</v>
      </c>
      <c r="F28" s="5">
        <f t="shared" si="0"/>
        <v>1.0602627314814815E-2</v>
      </c>
      <c r="G28">
        <v>27481</v>
      </c>
      <c r="H28" t="s">
        <v>20</v>
      </c>
    </row>
    <row r="29" spans="1:8" x14ac:dyDescent="0.35">
      <c r="A29" t="s">
        <v>81</v>
      </c>
      <c r="B29" t="s">
        <v>61</v>
      </c>
      <c r="C29" t="s">
        <v>30</v>
      </c>
      <c r="D29" t="s">
        <v>18</v>
      </c>
      <c r="E29" t="s">
        <v>109</v>
      </c>
      <c r="F29" s="5">
        <f t="shared" si="0"/>
        <v>1.0650844907407407E-2</v>
      </c>
      <c r="G29">
        <v>27606</v>
      </c>
      <c r="H29" t="s">
        <v>20</v>
      </c>
    </row>
    <row r="30" spans="1:8" x14ac:dyDescent="0.35">
      <c r="A30" s="1" t="s">
        <v>81</v>
      </c>
      <c r="B30" t="s">
        <v>63</v>
      </c>
      <c r="C30" t="s">
        <v>30</v>
      </c>
      <c r="D30" t="s">
        <v>18</v>
      </c>
      <c r="E30" t="s">
        <v>110</v>
      </c>
      <c r="F30" s="5">
        <f t="shared" si="0"/>
        <v>1.0685567129629628E-2</v>
      </c>
      <c r="G30">
        <v>27696</v>
      </c>
      <c r="H30" t="s">
        <v>20</v>
      </c>
    </row>
    <row r="31" spans="1:8" x14ac:dyDescent="0.35">
      <c r="A31" t="s">
        <v>81</v>
      </c>
      <c r="B31" t="s">
        <v>65</v>
      </c>
      <c r="C31" t="s">
        <v>30</v>
      </c>
      <c r="D31" t="s">
        <v>18</v>
      </c>
      <c r="E31" t="s">
        <v>111</v>
      </c>
      <c r="F31" s="5">
        <f t="shared" si="0"/>
        <v>1.0918981481481481E-2</v>
      </c>
      <c r="G31">
        <v>28301</v>
      </c>
      <c r="H31" t="s">
        <v>20</v>
      </c>
    </row>
    <row r="32" spans="1:8" x14ac:dyDescent="0.35">
      <c r="A32" s="1" t="s">
        <v>81</v>
      </c>
      <c r="B32" t="s">
        <v>16</v>
      </c>
      <c r="C32" t="s">
        <v>17</v>
      </c>
      <c r="D32" t="s">
        <v>18</v>
      </c>
      <c r="E32" t="s">
        <v>112</v>
      </c>
      <c r="F32" s="5">
        <f t="shared" si="0"/>
        <v>1.096605324074074E-2</v>
      </c>
      <c r="G32">
        <v>28423</v>
      </c>
      <c r="H32" t="s">
        <v>20</v>
      </c>
    </row>
    <row r="33" spans="1:8" x14ac:dyDescent="0.35">
      <c r="A33" t="s">
        <v>81</v>
      </c>
      <c r="B33" t="s">
        <v>36</v>
      </c>
      <c r="C33" t="s">
        <v>17</v>
      </c>
      <c r="D33" t="s">
        <v>18</v>
      </c>
      <c r="E33" t="s">
        <v>113</v>
      </c>
      <c r="F33" s="5">
        <f t="shared" si="0"/>
        <v>1.1025081018518519E-2</v>
      </c>
      <c r="G33">
        <v>28576</v>
      </c>
      <c r="H33" t="s">
        <v>20</v>
      </c>
    </row>
    <row r="34" spans="1:8" x14ac:dyDescent="0.35">
      <c r="A34" s="1" t="s">
        <v>81</v>
      </c>
      <c r="B34" t="s">
        <v>16</v>
      </c>
      <c r="C34" t="s">
        <v>17</v>
      </c>
      <c r="D34" t="s">
        <v>18</v>
      </c>
      <c r="E34" t="s">
        <v>114</v>
      </c>
      <c r="F34" s="5">
        <f t="shared" si="0"/>
        <v>1.1103784722222221E-2</v>
      </c>
      <c r="G34">
        <v>28780</v>
      </c>
      <c r="H34" t="s">
        <v>20</v>
      </c>
    </row>
    <row r="35" spans="1:8" x14ac:dyDescent="0.35">
      <c r="A35" t="s">
        <v>81</v>
      </c>
      <c r="B35" t="s">
        <v>36</v>
      </c>
      <c r="C35" t="s">
        <v>17</v>
      </c>
      <c r="D35" t="s">
        <v>18</v>
      </c>
      <c r="E35" t="s">
        <v>115</v>
      </c>
      <c r="F35" s="5">
        <f t="shared" si="0"/>
        <v>1.1159340277777778E-2</v>
      </c>
      <c r="G35">
        <v>28924</v>
      </c>
      <c r="H35" t="s">
        <v>20</v>
      </c>
    </row>
    <row r="36" spans="1:8" x14ac:dyDescent="0.35">
      <c r="A36" s="1" t="s">
        <v>81</v>
      </c>
      <c r="B36" t="s">
        <v>69</v>
      </c>
      <c r="C36" t="s">
        <v>30</v>
      </c>
      <c r="D36" t="s">
        <v>18</v>
      </c>
      <c r="E36" t="s">
        <v>116</v>
      </c>
      <c r="F36" s="5">
        <f t="shared" si="0"/>
        <v>1.1244988425925926E-2</v>
      </c>
      <c r="G36">
        <v>29146</v>
      </c>
      <c r="H36" t="s">
        <v>20</v>
      </c>
    </row>
    <row r="37" spans="1:8" x14ac:dyDescent="0.35">
      <c r="A37" t="s">
        <v>81</v>
      </c>
      <c r="B37" t="s">
        <v>72</v>
      </c>
      <c r="C37" t="s">
        <v>30</v>
      </c>
      <c r="D37" t="s">
        <v>18</v>
      </c>
      <c r="E37" t="s">
        <v>117</v>
      </c>
      <c r="F37" s="5">
        <f t="shared" si="0"/>
        <v>1.1432094907407406E-2</v>
      </c>
      <c r="G37">
        <v>29631</v>
      </c>
      <c r="H37" t="s">
        <v>20</v>
      </c>
    </row>
    <row r="38" spans="1:8" x14ac:dyDescent="0.35">
      <c r="A38" s="1" t="s">
        <v>81</v>
      </c>
      <c r="B38" t="s">
        <v>16</v>
      </c>
      <c r="C38" t="s">
        <v>17</v>
      </c>
      <c r="D38" t="s">
        <v>18</v>
      </c>
      <c r="E38" t="s">
        <v>118</v>
      </c>
      <c r="F38" s="5">
        <f t="shared" si="0"/>
        <v>1.1512731481481481E-2</v>
      </c>
      <c r="G38">
        <v>29840</v>
      </c>
      <c r="H38" t="s">
        <v>20</v>
      </c>
    </row>
    <row r="39" spans="1:8" x14ac:dyDescent="0.35">
      <c r="A39" t="s">
        <v>81</v>
      </c>
      <c r="B39" t="s">
        <v>16</v>
      </c>
      <c r="C39" t="s">
        <v>17</v>
      </c>
      <c r="D39" t="s">
        <v>18</v>
      </c>
      <c r="E39" t="s">
        <v>119</v>
      </c>
      <c r="F39" s="5">
        <f t="shared" si="0"/>
        <v>1.1813275462962963E-2</v>
      </c>
      <c r="G39">
        <v>30619</v>
      </c>
      <c r="H39" t="s">
        <v>20</v>
      </c>
    </row>
    <row r="40" spans="1:8" x14ac:dyDescent="0.35">
      <c r="A40" s="1" t="s">
        <v>81</v>
      </c>
      <c r="B40" t="s">
        <v>16</v>
      </c>
      <c r="C40" t="s">
        <v>17</v>
      </c>
      <c r="D40" t="s">
        <v>18</v>
      </c>
      <c r="E40" t="s">
        <v>120</v>
      </c>
      <c r="F40" s="5">
        <f t="shared" si="0"/>
        <v>1.1857638888888888E-2</v>
      </c>
      <c r="G40">
        <v>30734</v>
      </c>
      <c r="H40" t="s">
        <v>20</v>
      </c>
    </row>
    <row r="41" spans="1:8" x14ac:dyDescent="0.35">
      <c r="A41" t="s">
        <v>81</v>
      </c>
      <c r="B41" t="s">
        <v>32</v>
      </c>
      <c r="C41" t="s">
        <v>33</v>
      </c>
      <c r="D41" t="s">
        <v>24</v>
      </c>
      <c r="E41" t="s">
        <v>121</v>
      </c>
      <c r="F41" s="5">
        <f t="shared" si="0"/>
        <v>1.2023530092592594E-2</v>
      </c>
      <c r="G41">
        <v>31164</v>
      </c>
      <c r="H41" t="s">
        <v>20</v>
      </c>
    </row>
    <row r="42" spans="1:8" x14ac:dyDescent="0.35">
      <c r="A42" s="1" t="s">
        <v>81</v>
      </c>
      <c r="B42" t="s">
        <v>32</v>
      </c>
      <c r="C42" t="s">
        <v>33</v>
      </c>
      <c r="D42" t="s">
        <v>26</v>
      </c>
      <c r="E42" t="s">
        <v>122</v>
      </c>
      <c r="F42" s="5">
        <f t="shared" si="0"/>
        <v>1.2058645833333333E-2</v>
      </c>
      <c r="G42">
        <v>31255</v>
      </c>
      <c r="H42" t="s">
        <v>20</v>
      </c>
    </row>
    <row r="43" spans="1:8" x14ac:dyDescent="0.35">
      <c r="A43" t="s">
        <v>81</v>
      </c>
      <c r="B43" t="s">
        <v>78</v>
      </c>
      <c r="C43" t="s">
        <v>30</v>
      </c>
      <c r="D43" t="s">
        <v>18</v>
      </c>
      <c r="E43" t="s">
        <v>123</v>
      </c>
      <c r="F43" s="5">
        <f t="shared" si="0"/>
        <v>1.2153935185185184E-2</v>
      </c>
      <c r="G43">
        <v>31502</v>
      </c>
      <c r="H43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0134-0B29-4E68-8EF8-8D5B70527A34}">
  <dimension ref="A1:H43"/>
  <sheetViews>
    <sheetView zoomScaleNormal="100" workbookViewId="0">
      <selection activeCell="D16" sqref="D16"/>
    </sheetView>
  </sheetViews>
  <sheetFormatPr defaultRowHeight="14.5" x14ac:dyDescent="0.35"/>
  <cols>
    <col min="1" max="1" width="25.90625" customWidth="1"/>
    <col min="2" max="2" width="23" customWidth="1"/>
    <col min="3" max="3" width="26" customWidth="1"/>
    <col min="4" max="4" width="27" customWidth="1"/>
    <col min="5" max="5" width="13" customWidth="1"/>
    <col min="6" max="6" width="9.90625" customWidth="1"/>
    <col min="7" max="7" width="16.26953125" customWidth="1"/>
    <col min="8" max="8" width="11" customWidth="1"/>
  </cols>
  <sheetData>
    <row r="1" spans="1:8" x14ac:dyDescent="0.35">
      <c r="A1" s="4" t="s">
        <v>0</v>
      </c>
      <c r="B1" s="4" t="s">
        <v>1</v>
      </c>
      <c r="C1" s="4" t="s">
        <v>7</v>
      </c>
      <c r="D1" s="4" t="s">
        <v>8</v>
      </c>
      <c r="E1" s="4" t="s">
        <v>9</v>
      </c>
      <c r="F1" s="4" t="s">
        <v>209</v>
      </c>
      <c r="G1" s="4" t="s">
        <v>210</v>
      </c>
      <c r="H1" s="4" t="s">
        <v>10</v>
      </c>
    </row>
    <row r="2" spans="1:8" x14ac:dyDescent="0.35">
      <c r="A2" t="s">
        <v>126</v>
      </c>
      <c r="B2" t="s">
        <v>125</v>
      </c>
      <c r="C2" t="s">
        <v>16</v>
      </c>
      <c r="D2" t="s">
        <v>17</v>
      </c>
      <c r="E2" t="s">
        <v>18</v>
      </c>
      <c r="F2" t="s">
        <v>167</v>
      </c>
      <c r="G2" s="3">
        <f>F2/86400</f>
        <v>1.2118055555555556E-3</v>
      </c>
      <c r="H2">
        <v>3141</v>
      </c>
    </row>
    <row r="3" spans="1:8" x14ac:dyDescent="0.35">
      <c r="A3" t="s">
        <v>126</v>
      </c>
      <c r="B3" t="s">
        <v>125</v>
      </c>
      <c r="C3" t="s">
        <v>16</v>
      </c>
      <c r="D3" t="s">
        <v>17</v>
      </c>
      <c r="E3" t="s">
        <v>18</v>
      </c>
      <c r="F3" t="s">
        <v>166</v>
      </c>
      <c r="G3" s="3">
        <f t="shared" ref="G3:G43" si="0">F3/86400</f>
        <v>1.4436689814814815E-3</v>
      </c>
      <c r="H3">
        <v>3742</v>
      </c>
    </row>
    <row r="4" spans="1:8" x14ac:dyDescent="0.35">
      <c r="A4" t="s">
        <v>126</v>
      </c>
      <c r="B4" t="s">
        <v>125</v>
      </c>
      <c r="C4" t="s">
        <v>16</v>
      </c>
      <c r="D4" t="s">
        <v>17</v>
      </c>
      <c r="E4" t="s">
        <v>18</v>
      </c>
      <c r="F4" t="s">
        <v>165</v>
      </c>
      <c r="G4" s="3">
        <f t="shared" si="0"/>
        <v>2.5532407407407405E-3</v>
      </c>
      <c r="H4">
        <v>6618</v>
      </c>
    </row>
    <row r="5" spans="1:8" x14ac:dyDescent="0.35">
      <c r="A5" t="s">
        <v>126</v>
      </c>
      <c r="B5" t="s">
        <v>125</v>
      </c>
      <c r="C5" t="s">
        <v>16</v>
      </c>
      <c r="D5" t="s">
        <v>17</v>
      </c>
      <c r="E5" t="s">
        <v>18</v>
      </c>
      <c r="F5" t="s">
        <v>164</v>
      </c>
      <c r="G5" s="3">
        <f t="shared" si="0"/>
        <v>2.660497685185185E-3</v>
      </c>
      <c r="H5">
        <v>6896</v>
      </c>
    </row>
    <row r="6" spans="1:8" x14ac:dyDescent="0.35">
      <c r="A6" t="s">
        <v>126</v>
      </c>
      <c r="B6" t="s">
        <v>125</v>
      </c>
      <c r="C6" t="s">
        <v>29</v>
      </c>
      <c r="D6" t="s">
        <v>30</v>
      </c>
      <c r="E6" t="s">
        <v>18</v>
      </c>
      <c r="F6" t="s">
        <v>163</v>
      </c>
      <c r="G6" s="3">
        <f t="shared" si="0"/>
        <v>2.701388888888889E-3</v>
      </c>
      <c r="H6">
        <v>7002</v>
      </c>
    </row>
    <row r="7" spans="1:8" x14ac:dyDescent="0.35">
      <c r="A7" t="s">
        <v>126</v>
      </c>
      <c r="B7" t="s">
        <v>125</v>
      </c>
      <c r="C7" t="s">
        <v>32</v>
      </c>
      <c r="D7" t="s">
        <v>33</v>
      </c>
      <c r="E7" t="s">
        <v>24</v>
      </c>
      <c r="F7" t="s">
        <v>162</v>
      </c>
      <c r="G7" s="3">
        <f t="shared" si="0"/>
        <v>2.7272337962962966E-3</v>
      </c>
      <c r="H7">
        <v>7069</v>
      </c>
    </row>
    <row r="8" spans="1:8" x14ac:dyDescent="0.35">
      <c r="A8" t="s">
        <v>126</v>
      </c>
      <c r="B8" t="s">
        <v>125</v>
      </c>
      <c r="C8" t="s">
        <v>32</v>
      </c>
      <c r="D8" t="s">
        <v>33</v>
      </c>
      <c r="E8" t="s">
        <v>26</v>
      </c>
      <c r="F8" t="s">
        <v>161</v>
      </c>
      <c r="G8" s="3">
        <f t="shared" si="0"/>
        <v>2.9251504629629632E-3</v>
      </c>
      <c r="H8">
        <v>7583</v>
      </c>
    </row>
    <row r="9" spans="1:8" x14ac:dyDescent="0.35">
      <c r="A9" t="s">
        <v>126</v>
      </c>
      <c r="B9" t="s">
        <v>125</v>
      </c>
      <c r="C9" t="s">
        <v>36</v>
      </c>
      <c r="D9" t="s">
        <v>17</v>
      </c>
      <c r="E9" t="s">
        <v>18</v>
      </c>
      <c r="F9" t="s">
        <v>160</v>
      </c>
      <c r="G9" s="3">
        <f t="shared" si="0"/>
        <v>3.0185185185185185E-3</v>
      </c>
      <c r="H9">
        <v>7824</v>
      </c>
    </row>
    <row r="10" spans="1:8" x14ac:dyDescent="0.35">
      <c r="A10" t="s">
        <v>126</v>
      </c>
      <c r="B10" t="s">
        <v>125</v>
      </c>
      <c r="C10" t="s">
        <v>16</v>
      </c>
      <c r="D10" t="s">
        <v>17</v>
      </c>
      <c r="E10" t="s">
        <v>18</v>
      </c>
      <c r="F10" t="s">
        <v>159</v>
      </c>
      <c r="G10" s="3">
        <f t="shared" si="0"/>
        <v>3.036655092592593E-3</v>
      </c>
      <c r="H10">
        <v>7871</v>
      </c>
    </row>
    <row r="11" spans="1:8" x14ac:dyDescent="0.35">
      <c r="A11" t="s">
        <v>126</v>
      </c>
      <c r="B11" t="s">
        <v>125</v>
      </c>
      <c r="C11" t="s">
        <v>16</v>
      </c>
      <c r="D11" t="s">
        <v>17</v>
      </c>
      <c r="E11" t="s">
        <v>18</v>
      </c>
      <c r="F11" t="s">
        <v>158</v>
      </c>
      <c r="G11" s="3">
        <f t="shared" si="0"/>
        <v>3.3437499999999999E-3</v>
      </c>
      <c r="H11">
        <v>8667</v>
      </c>
    </row>
    <row r="12" spans="1:8" x14ac:dyDescent="0.35">
      <c r="A12" t="s">
        <v>126</v>
      </c>
      <c r="B12" t="s">
        <v>125</v>
      </c>
      <c r="C12" t="s">
        <v>39</v>
      </c>
      <c r="D12" t="s">
        <v>30</v>
      </c>
      <c r="E12" t="s">
        <v>18</v>
      </c>
      <c r="F12" t="s">
        <v>157</v>
      </c>
      <c r="G12" s="3">
        <f t="shared" si="0"/>
        <v>3.407789351851852E-3</v>
      </c>
      <c r="H12">
        <v>8833</v>
      </c>
    </row>
    <row r="13" spans="1:8" x14ac:dyDescent="0.35">
      <c r="A13" t="s">
        <v>126</v>
      </c>
      <c r="B13" t="s">
        <v>125</v>
      </c>
      <c r="C13" t="s">
        <v>32</v>
      </c>
      <c r="D13" t="s">
        <v>33</v>
      </c>
      <c r="E13" t="s">
        <v>24</v>
      </c>
      <c r="F13" t="s">
        <v>156</v>
      </c>
      <c r="G13" s="3">
        <f t="shared" si="0"/>
        <v>3.4405902777777777E-3</v>
      </c>
      <c r="H13">
        <v>8918</v>
      </c>
    </row>
    <row r="14" spans="1:8" x14ac:dyDescent="0.35">
      <c r="A14" t="s">
        <v>126</v>
      </c>
      <c r="B14" t="s">
        <v>125</v>
      </c>
      <c r="C14" t="s">
        <v>36</v>
      </c>
      <c r="D14" t="s">
        <v>17</v>
      </c>
      <c r="E14" t="s">
        <v>18</v>
      </c>
      <c r="F14" t="s">
        <v>155</v>
      </c>
      <c r="G14" s="3">
        <f t="shared" si="0"/>
        <v>3.6230671296296297E-3</v>
      </c>
      <c r="H14">
        <v>9391</v>
      </c>
    </row>
    <row r="15" spans="1:8" x14ac:dyDescent="0.35">
      <c r="A15" t="s">
        <v>126</v>
      </c>
      <c r="B15" t="s">
        <v>125</v>
      </c>
      <c r="C15" t="s">
        <v>16</v>
      </c>
      <c r="D15" t="s">
        <v>17</v>
      </c>
      <c r="E15" t="s">
        <v>18</v>
      </c>
      <c r="F15" t="s">
        <v>154</v>
      </c>
      <c r="G15" s="3">
        <f t="shared" si="0"/>
        <v>4.1462152777777782E-3</v>
      </c>
      <c r="H15">
        <v>10747</v>
      </c>
    </row>
    <row r="16" spans="1:8" x14ac:dyDescent="0.35">
      <c r="A16" t="s">
        <v>126</v>
      </c>
      <c r="B16" t="s">
        <v>125</v>
      </c>
      <c r="C16" t="s">
        <v>23</v>
      </c>
      <c r="D16" t="s">
        <v>23</v>
      </c>
      <c r="E16" t="s">
        <v>24</v>
      </c>
      <c r="F16" t="s">
        <v>153</v>
      </c>
      <c r="G16" s="3">
        <f t="shared" si="0"/>
        <v>4.2511574074074075E-3</v>
      </c>
      <c r="H16">
        <v>11019</v>
      </c>
    </row>
    <row r="17" spans="1:8" x14ac:dyDescent="0.35">
      <c r="A17" t="s">
        <v>126</v>
      </c>
      <c r="B17" t="s">
        <v>125</v>
      </c>
      <c r="C17" t="s">
        <v>23</v>
      </c>
      <c r="D17" t="s">
        <v>23</v>
      </c>
      <c r="E17" t="s">
        <v>26</v>
      </c>
      <c r="F17" t="s">
        <v>152</v>
      </c>
      <c r="G17" s="3">
        <f t="shared" si="0"/>
        <v>4.5509259259259261E-3</v>
      </c>
      <c r="H17">
        <v>11796</v>
      </c>
    </row>
    <row r="18" spans="1:8" x14ac:dyDescent="0.35">
      <c r="A18" t="s">
        <v>126</v>
      </c>
      <c r="B18" t="s">
        <v>125</v>
      </c>
      <c r="C18" t="s">
        <v>16</v>
      </c>
      <c r="D18" t="s">
        <v>17</v>
      </c>
      <c r="E18" t="s">
        <v>18</v>
      </c>
      <c r="F18" t="s">
        <v>151</v>
      </c>
      <c r="G18" s="3">
        <f t="shared" si="0"/>
        <v>4.6678240740740742E-3</v>
      </c>
      <c r="H18">
        <v>12099</v>
      </c>
    </row>
    <row r="19" spans="1:8" x14ac:dyDescent="0.35">
      <c r="A19" t="s">
        <v>126</v>
      </c>
      <c r="B19" t="s">
        <v>125</v>
      </c>
      <c r="C19" t="s">
        <v>48</v>
      </c>
      <c r="D19" t="s">
        <v>30</v>
      </c>
      <c r="E19" t="s">
        <v>18</v>
      </c>
      <c r="F19" t="s">
        <v>150</v>
      </c>
      <c r="G19" s="3">
        <f t="shared" si="0"/>
        <v>4.9205208333333332E-3</v>
      </c>
      <c r="H19">
        <v>12754</v>
      </c>
    </row>
    <row r="20" spans="1:8" x14ac:dyDescent="0.35">
      <c r="A20" t="s">
        <v>126</v>
      </c>
      <c r="B20" t="s">
        <v>125</v>
      </c>
      <c r="C20" t="s">
        <v>16</v>
      </c>
      <c r="D20" t="s">
        <v>17</v>
      </c>
      <c r="E20" t="s">
        <v>18</v>
      </c>
      <c r="F20" t="s">
        <v>149</v>
      </c>
      <c r="G20" s="3">
        <f t="shared" si="0"/>
        <v>4.9872685185185185E-3</v>
      </c>
      <c r="H20">
        <v>12927</v>
      </c>
    </row>
    <row r="21" spans="1:8" x14ac:dyDescent="0.35">
      <c r="A21" t="s">
        <v>126</v>
      </c>
      <c r="B21" t="s">
        <v>125</v>
      </c>
      <c r="C21" t="s">
        <v>16</v>
      </c>
      <c r="D21" t="s">
        <v>17</v>
      </c>
      <c r="E21" t="s">
        <v>18</v>
      </c>
      <c r="F21" t="s">
        <v>148</v>
      </c>
      <c r="G21" s="3">
        <f t="shared" si="0"/>
        <v>5.4313310185185185E-3</v>
      </c>
      <c r="H21">
        <v>14077</v>
      </c>
    </row>
    <row r="22" spans="1:8" x14ac:dyDescent="0.35">
      <c r="A22" t="s">
        <v>126</v>
      </c>
      <c r="B22" t="s">
        <v>125</v>
      </c>
      <c r="C22" t="s">
        <v>52</v>
      </c>
      <c r="D22" t="s">
        <v>30</v>
      </c>
      <c r="E22" t="s">
        <v>18</v>
      </c>
      <c r="F22" t="s">
        <v>147</v>
      </c>
      <c r="G22" s="3">
        <f t="shared" si="0"/>
        <v>5.5439814814814813E-3</v>
      </c>
      <c r="H22">
        <v>14369</v>
      </c>
    </row>
    <row r="23" spans="1:8" x14ac:dyDescent="0.35">
      <c r="A23" t="s">
        <v>126</v>
      </c>
      <c r="B23" t="s">
        <v>125</v>
      </c>
      <c r="C23" t="s">
        <v>16</v>
      </c>
      <c r="D23" t="s">
        <v>17</v>
      </c>
      <c r="E23" t="s">
        <v>18</v>
      </c>
      <c r="F23" t="s">
        <v>146</v>
      </c>
      <c r="G23" s="3">
        <f t="shared" si="0"/>
        <v>5.8314004629629636E-3</v>
      </c>
      <c r="H23">
        <v>15114</v>
      </c>
    </row>
    <row r="24" spans="1:8" x14ac:dyDescent="0.35">
      <c r="A24" t="s">
        <v>126</v>
      </c>
      <c r="B24" t="s">
        <v>125</v>
      </c>
      <c r="C24" t="s">
        <v>23</v>
      </c>
      <c r="D24" t="s">
        <v>23</v>
      </c>
      <c r="E24" t="s">
        <v>24</v>
      </c>
      <c r="F24" t="s">
        <v>145</v>
      </c>
      <c r="G24" s="3">
        <f t="shared" si="0"/>
        <v>5.9513888888888897E-3</v>
      </c>
      <c r="H24">
        <v>15425</v>
      </c>
    </row>
    <row r="25" spans="1:8" x14ac:dyDescent="0.35">
      <c r="A25" t="s">
        <v>126</v>
      </c>
      <c r="B25" t="s">
        <v>125</v>
      </c>
      <c r="C25" t="s">
        <v>23</v>
      </c>
      <c r="D25" t="s">
        <v>23</v>
      </c>
      <c r="E25" t="s">
        <v>26</v>
      </c>
      <c r="F25" t="s">
        <v>144</v>
      </c>
      <c r="G25" s="3">
        <f t="shared" si="0"/>
        <v>5.9938310185185181E-3</v>
      </c>
      <c r="H25">
        <v>15535</v>
      </c>
    </row>
    <row r="26" spans="1:8" x14ac:dyDescent="0.35">
      <c r="A26" t="s">
        <v>126</v>
      </c>
      <c r="B26" t="s">
        <v>125</v>
      </c>
      <c r="C26" t="s">
        <v>23</v>
      </c>
      <c r="D26" t="s">
        <v>23</v>
      </c>
      <c r="E26" t="s">
        <v>24</v>
      </c>
      <c r="F26" t="s">
        <v>143</v>
      </c>
      <c r="G26" s="3">
        <f t="shared" si="0"/>
        <v>6.776238425925926E-3</v>
      </c>
      <c r="H26">
        <v>17563</v>
      </c>
    </row>
    <row r="27" spans="1:8" x14ac:dyDescent="0.35">
      <c r="A27" t="s">
        <v>126</v>
      </c>
      <c r="B27" t="s">
        <v>125</v>
      </c>
      <c r="C27" t="s">
        <v>23</v>
      </c>
      <c r="D27" t="s">
        <v>23</v>
      </c>
      <c r="E27" t="s">
        <v>26</v>
      </c>
      <c r="F27" t="s">
        <v>142</v>
      </c>
      <c r="G27" s="3">
        <f t="shared" si="0"/>
        <v>7.0918171296296293E-3</v>
      </c>
      <c r="H27">
        <v>18381</v>
      </c>
    </row>
    <row r="28" spans="1:8" x14ac:dyDescent="0.35">
      <c r="A28" t="s">
        <v>126</v>
      </c>
      <c r="B28" t="s">
        <v>125</v>
      </c>
      <c r="C28" t="s">
        <v>61</v>
      </c>
      <c r="D28" t="s">
        <v>30</v>
      </c>
      <c r="E28" t="s">
        <v>18</v>
      </c>
      <c r="F28" t="s">
        <v>141</v>
      </c>
      <c r="G28" s="3">
        <f t="shared" si="0"/>
        <v>7.1763078703703702E-3</v>
      </c>
      <c r="H28">
        <v>18600</v>
      </c>
    </row>
    <row r="29" spans="1:8" x14ac:dyDescent="0.35">
      <c r="A29" t="s">
        <v>126</v>
      </c>
      <c r="B29" t="s">
        <v>125</v>
      </c>
      <c r="C29" t="s">
        <v>63</v>
      </c>
      <c r="D29" t="s">
        <v>30</v>
      </c>
      <c r="E29" t="s">
        <v>18</v>
      </c>
      <c r="F29" t="s">
        <v>140</v>
      </c>
      <c r="G29" s="3">
        <f t="shared" si="0"/>
        <v>7.2218402777777775E-3</v>
      </c>
      <c r="H29">
        <v>18718</v>
      </c>
    </row>
    <row r="30" spans="1:8" x14ac:dyDescent="0.35">
      <c r="A30" t="s">
        <v>126</v>
      </c>
      <c r="B30" t="s">
        <v>125</v>
      </c>
      <c r="C30" t="s">
        <v>65</v>
      </c>
      <c r="D30" t="s">
        <v>30</v>
      </c>
      <c r="E30" t="s">
        <v>18</v>
      </c>
      <c r="F30" t="s">
        <v>139</v>
      </c>
      <c r="G30" s="3">
        <f t="shared" si="0"/>
        <v>7.2353356481481487E-3</v>
      </c>
      <c r="H30">
        <v>18753</v>
      </c>
    </row>
    <row r="31" spans="1:8" x14ac:dyDescent="0.35">
      <c r="A31" t="s">
        <v>126</v>
      </c>
      <c r="B31" t="s">
        <v>125</v>
      </c>
      <c r="C31" t="s">
        <v>36</v>
      </c>
      <c r="D31" t="s">
        <v>17</v>
      </c>
      <c r="E31" t="s">
        <v>18</v>
      </c>
      <c r="F31" t="s">
        <v>138</v>
      </c>
      <c r="G31" s="3">
        <f t="shared" si="0"/>
        <v>7.5347222222222222E-3</v>
      </c>
      <c r="H31">
        <v>19529</v>
      </c>
    </row>
    <row r="32" spans="1:8" x14ac:dyDescent="0.35">
      <c r="A32" t="s">
        <v>126</v>
      </c>
      <c r="B32" t="s">
        <v>125</v>
      </c>
      <c r="C32" t="s">
        <v>69</v>
      </c>
      <c r="D32" t="s">
        <v>30</v>
      </c>
      <c r="E32" t="s">
        <v>18</v>
      </c>
      <c r="F32" t="s">
        <v>137</v>
      </c>
      <c r="G32" s="3">
        <f t="shared" si="0"/>
        <v>7.7152777777777784E-3</v>
      </c>
      <c r="H32">
        <v>19997</v>
      </c>
    </row>
    <row r="33" spans="1:8" x14ac:dyDescent="0.35">
      <c r="A33" t="s">
        <v>126</v>
      </c>
      <c r="B33" t="s">
        <v>125</v>
      </c>
      <c r="C33" t="s">
        <v>72</v>
      </c>
      <c r="D33" t="s">
        <v>30</v>
      </c>
      <c r="E33" t="s">
        <v>18</v>
      </c>
      <c r="F33" t="s">
        <v>136</v>
      </c>
      <c r="G33" s="3">
        <f t="shared" si="0"/>
        <v>7.744988425925926E-3</v>
      </c>
      <c r="H33">
        <v>20074</v>
      </c>
    </row>
    <row r="34" spans="1:8" x14ac:dyDescent="0.35">
      <c r="A34" t="s">
        <v>126</v>
      </c>
      <c r="B34" t="s">
        <v>125</v>
      </c>
      <c r="C34" t="s">
        <v>16</v>
      </c>
      <c r="D34" t="s">
        <v>17</v>
      </c>
      <c r="E34" t="s">
        <v>18</v>
      </c>
      <c r="F34" t="s">
        <v>135</v>
      </c>
      <c r="G34" s="3">
        <f t="shared" si="0"/>
        <v>8.2295486111111111E-3</v>
      </c>
      <c r="H34">
        <v>21330</v>
      </c>
    </row>
    <row r="35" spans="1:8" x14ac:dyDescent="0.35">
      <c r="A35" t="s">
        <v>126</v>
      </c>
      <c r="B35" t="s">
        <v>125</v>
      </c>
      <c r="C35" t="s">
        <v>36</v>
      </c>
      <c r="D35" t="s">
        <v>17</v>
      </c>
      <c r="E35" t="s">
        <v>18</v>
      </c>
      <c r="F35" t="s">
        <v>134</v>
      </c>
      <c r="G35" s="3">
        <f t="shared" si="0"/>
        <v>8.3148148148148148E-3</v>
      </c>
      <c r="H35">
        <v>21551</v>
      </c>
    </row>
    <row r="36" spans="1:8" x14ac:dyDescent="0.35">
      <c r="A36" t="s">
        <v>126</v>
      </c>
      <c r="B36" t="s">
        <v>125</v>
      </c>
      <c r="C36" t="s">
        <v>32</v>
      </c>
      <c r="D36" t="s">
        <v>33</v>
      </c>
      <c r="E36" t="s">
        <v>26</v>
      </c>
      <c r="F36" t="s">
        <v>133</v>
      </c>
      <c r="G36" s="3">
        <f t="shared" si="0"/>
        <v>8.4486921296296289E-3</v>
      </c>
      <c r="H36">
        <v>21898</v>
      </c>
    </row>
    <row r="37" spans="1:8" x14ac:dyDescent="0.35">
      <c r="A37" t="s">
        <v>126</v>
      </c>
      <c r="B37" t="s">
        <v>125</v>
      </c>
      <c r="C37" t="s">
        <v>32</v>
      </c>
      <c r="D37" t="s">
        <v>33</v>
      </c>
      <c r="E37" t="s">
        <v>24</v>
      </c>
      <c r="F37" t="s">
        <v>132</v>
      </c>
      <c r="G37" s="3">
        <f t="shared" si="0"/>
        <v>8.4818634259259257E-3</v>
      </c>
      <c r="H37">
        <v>21984</v>
      </c>
    </row>
    <row r="38" spans="1:8" x14ac:dyDescent="0.35">
      <c r="A38" t="s">
        <v>126</v>
      </c>
      <c r="B38" t="s">
        <v>125</v>
      </c>
      <c r="C38" t="s">
        <v>32</v>
      </c>
      <c r="D38" t="s">
        <v>33</v>
      </c>
      <c r="E38" t="s">
        <v>26</v>
      </c>
      <c r="F38" t="s">
        <v>131</v>
      </c>
      <c r="G38" s="3">
        <f t="shared" si="0"/>
        <v>8.4864930555555544E-3</v>
      </c>
      <c r="H38">
        <v>21996</v>
      </c>
    </row>
    <row r="39" spans="1:8" x14ac:dyDescent="0.35">
      <c r="A39" t="s">
        <v>126</v>
      </c>
      <c r="B39" t="s">
        <v>125</v>
      </c>
      <c r="C39" t="s">
        <v>32</v>
      </c>
      <c r="D39" t="s">
        <v>33</v>
      </c>
      <c r="E39" t="s">
        <v>24</v>
      </c>
      <c r="F39" t="s">
        <v>130</v>
      </c>
      <c r="G39" s="3">
        <f t="shared" si="0"/>
        <v>8.5127314814814822E-3</v>
      </c>
      <c r="H39">
        <v>22064</v>
      </c>
    </row>
    <row r="40" spans="1:8" x14ac:dyDescent="0.35">
      <c r="A40" t="s">
        <v>126</v>
      </c>
      <c r="B40" t="s">
        <v>125</v>
      </c>
      <c r="C40" t="s">
        <v>32</v>
      </c>
      <c r="D40" t="s">
        <v>33</v>
      </c>
      <c r="E40" t="s">
        <v>26</v>
      </c>
      <c r="F40" t="s">
        <v>129</v>
      </c>
      <c r="G40" s="3">
        <f t="shared" si="0"/>
        <v>8.6354166666666662E-3</v>
      </c>
      <c r="H40">
        <v>22382</v>
      </c>
    </row>
    <row r="41" spans="1:8" x14ac:dyDescent="0.35">
      <c r="A41" t="s">
        <v>126</v>
      </c>
      <c r="B41" t="s">
        <v>125</v>
      </c>
      <c r="C41" t="s">
        <v>32</v>
      </c>
      <c r="D41" t="s">
        <v>33</v>
      </c>
      <c r="E41" t="s">
        <v>24</v>
      </c>
      <c r="F41" t="s">
        <v>128</v>
      </c>
      <c r="G41" s="3">
        <f t="shared" si="0"/>
        <v>8.6381134259259258E-3</v>
      </c>
      <c r="H41">
        <v>22389</v>
      </c>
    </row>
    <row r="42" spans="1:8" x14ac:dyDescent="0.35">
      <c r="A42" t="s">
        <v>126</v>
      </c>
      <c r="B42" t="s">
        <v>125</v>
      </c>
      <c r="C42" t="s">
        <v>32</v>
      </c>
      <c r="D42" t="s">
        <v>33</v>
      </c>
      <c r="E42" t="s">
        <v>26</v>
      </c>
      <c r="F42" t="s">
        <v>127</v>
      </c>
      <c r="G42" s="3">
        <f t="shared" si="0"/>
        <v>8.7515393518518524E-3</v>
      </c>
      <c r="H42">
        <v>22683</v>
      </c>
    </row>
    <row r="43" spans="1:8" x14ac:dyDescent="0.35">
      <c r="A43" t="s">
        <v>126</v>
      </c>
      <c r="B43" t="s">
        <v>125</v>
      </c>
      <c r="C43" t="s">
        <v>36</v>
      </c>
      <c r="D43" t="s">
        <v>17</v>
      </c>
      <c r="E43" t="s">
        <v>18</v>
      </c>
      <c r="F43" t="s">
        <v>124</v>
      </c>
      <c r="G43" s="3">
        <f t="shared" si="0"/>
        <v>9.0497685185185178E-3</v>
      </c>
      <c r="H43">
        <v>23456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5096-8663-49A9-87EF-874285C3FF7D}">
  <dimension ref="A1:M38"/>
  <sheetViews>
    <sheetView topLeftCell="G1" zoomScale="115" zoomScaleNormal="115" workbookViewId="0">
      <selection activeCell="I2" sqref="I2"/>
    </sheetView>
  </sheetViews>
  <sheetFormatPr defaultRowHeight="14.5" x14ac:dyDescent="0.35"/>
  <cols>
    <col min="1" max="1" width="27.54296875" customWidth="1"/>
    <col min="2" max="2" width="23" customWidth="1"/>
    <col min="3" max="3" width="11" customWidth="1"/>
    <col min="4" max="4" width="17.6328125" customWidth="1"/>
    <col min="5" max="5" width="16" customWidth="1"/>
    <col min="6" max="6" width="103" customWidth="1"/>
    <col min="7" max="7" width="18" customWidth="1"/>
    <col min="8" max="8" width="26" customWidth="1"/>
    <col min="9" max="9" width="36.54296875" customWidth="1"/>
    <col min="10" max="10" width="13" customWidth="1"/>
    <col min="11" max="11" width="13.54296875" customWidth="1"/>
    <col min="12" max="12" width="16.81640625" style="7" customWidth="1"/>
    <col min="13" max="13" width="1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209</v>
      </c>
      <c r="L1" s="6" t="s">
        <v>210</v>
      </c>
      <c r="M1" s="4" t="s">
        <v>10</v>
      </c>
    </row>
    <row r="2" spans="1:13" x14ac:dyDescent="0.35">
      <c r="A2" t="s">
        <v>172</v>
      </c>
      <c r="B2" t="s">
        <v>171</v>
      </c>
      <c r="D2">
        <v>500.96699999999998</v>
      </c>
      <c r="E2" t="s">
        <v>14</v>
      </c>
      <c r="F2" t="s">
        <v>170</v>
      </c>
      <c r="G2" t="s">
        <v>169</v>
      </c>
      <c r="H2" t="s">
        <v>16</v>
      </c>
      <c r="I2" t="s">
        <v>17</v>
      </c>
      <c r="J2" t="s">
        <v>18</v>
      </c>
      <c r="K2" s="2" t="s">
        <v>208</v>
      </c>
      <c r="L2" s="8">
        <f>K2/86400</f>
        <v>2.4108796296296296E-3</v>
      </c>
      <c r="M2">
        <v>6249</v>
      </c>
    </row>
    <row r="3" spans="1:13" x14ac:dyDescent="0.35">
      <c r="A3" t="s">
        <v>172</v>
      </c>
      <c r="B3" t="s">
        <v>171</v>
      </c>
      <c r="D3">
        <v>500.96699999999998</v>
      </c>
      <c r="E3" t="s">
        <v>14</v>
      </c>
      <c r="F3" t="s">
        <v>170</v>
      </c>
      <c r="G3" t="s">
        <v>169</v>
      </c>
      <c r="H3" t="s">
        <v>23</v>
      </c>
      <c r="I3" t="s">
        <v>23</v>
      </c>
      <c r="J3" t="s">
        <v>24</v>
      </c>
      <c r="K3" t="s">
        <v>207</v>
      </c>
      <c r="L3" s="8">
        <f t="shared" ref="L3:L38" si="0">K3/86400</f>
        <v>2.7392013888888891E-3</v>
      </c>
      <c r="M3">
        <v>7100</v>
      </c>
    </row>
    <row r="4" spans="1:13" x14ac:dyDescent="0.35">
      <c r="A4" t="s">
        <v>172</v>
      </c>
      <c r="B4" t="s">
        <v>171</v>
      </c>
      <c r="D4">
        <v>500.96699999999998</v>
      </c>
      <c r="E4" t="s">
        <v>14</v>
      </c>
      <c r="F4" t="s">
        <v>170</v>
      </c>
      <c r="G4" t="s">
        <v>169</v>
      </c>
      <c r="H4" t="s">
        <v>23</v>
      </c>
      <c r="I4" t="s">
        <v>23</v>
      </c>
      <c r="J4" t="s">
        <v>26</v>
      </c>
      <c r="K4" t="s">
        <v>206</v>
      </c>
      <c r="L4" s="8">
        <f t="shared" si="0"/>
        <v>2.7677430555555558E-3</v>
      </c>
      <c r="M4">
        <v>7174</v>
      </c>
    </row>
    <row r="5" spans="1:13" x14ac:dyDescent="0.35">
      <c r="A5" t="s">
        <v>172</v>
      </c>
      <c r="B5" t="s">
        <v>171</v>
      </c>
      <c r="D5">
        <v>500.96699999999998</v>
      </c>
      <c r="E5" t="s">
        <v>14</v>
      </c>
      <c r="F5" t="s">
        <v>170</v>
      </c>
      <c r="G5" t="s">
        <v>169</v>
      </c>
      <c r="H5" t="s">
        <v>16</v>
      </c>
      <c r="I5" t="s">
        <v>17</v>
      </c>
      <c r="J5" t="s">
        <v>18</v>
      </c>
      <c r="K5" t="s">
        <v>205</v>
      </c>
      <c r="L5" s="8">
        <f t="shared" si="0"/>
        <v>2.792048611111111E-3</v>
      </c>
      <c r="M5">
        <v>7237</v>
      </c>
    </row>
    <row r="6" spans="1:13" x14ac:dyDescent="0.35">
      <c r="A6" t="s">
        <v>172</v>
      </c>
      <c r="B6" t="s">
        <v>171</v>
      </c>
      <c r="D6">
        <v>500.96699999999998</v>
      </c>
      <c r="E6" t="s">
        <v>14</v>
      </c>
      <c r="F6" t="s">
        <v>170</v>
      </c>
      <c r="G6" t="s">
        <v>169</v>
      </c>
      <c r="H6" t="s">
        <v>16</v>
      </c>
      <c r="I6" t="s">
        <v>17</v>
      </c>
      <c r="J6" t="s">
        <v>18</v>
      </c>
      <c r="K6" t="s">
        <v>204</v>
      </c>
      <c r="L6" s="8">
        <f t="shared" si="0"/>
        <v>3.5107986111111112E-3</v>
      </c>
      <c r="M6">
        <v>9100</v>
      </c>
    </row>
    <row r="7" spans="1:13" x14ac:dyDescent="0.35">
      <c r="A7" t="s">
        <v>172</v>
      </c>
      <c r="B7" t="s">
        <v>171</v>
      </c>
      <c r="D7">
        <v>500.96699999999998</v>
      </c>
      <c r="E7" t="s">
        <v>14</v>
      </c>
      <c r="F7" t="s">
        <v>170</v>
      </c>
      <c r="G7" t="s">
        <v>169</v>
      </c>
      <c r="H7" t="s">
        <v>29</v>
      </c>
      <c r="I7" t="s">
        <v>30</v>
      </c>
      <c r="J7" t="s">
        <v>18</v>
      </c>
      <c r="K7" t="s">
        <v>203</v>
      </c>
      <c r="L7" s="8">
        <f t="shared" si="0"/>
        <v>3.5790856481481481E-3</v>
      </c>
      <c r="M7">
        <v>9277</v>
      </c>
    </row>
    <row r="8" spans="1:13" x14ac:dyDescent="0.35">
      <c r="A8" t="s">
        <v>172</v>
      </c>
      <c r="B8" t="s">
        <v>171</v>
      </c>
      <c r="D8">
        <v>500.96699999999998</v>
      </c>
      <c r="E8" t="s">
        <v>14</v>
      </c>
      <c r="F8" t="s">
        <v>170</v>
      </c>
      <c r="G8" t="s">
        <v>169</v>
      </c>
      <c r="H8" t="s">
        <v>32</v>
      </c>
      <c r="I8" t="s">
        <v>33</v>
      </c>
      <c r="J8" t="s">
        <v>24</v>
      </c>
      <c r="K8" t="s">
        <v>202</v>
      </c>
      <c r="L8" s="8">
        <f t="shared" si="0"/>
        <v>3.6172800925925929E-3</v>
      </c>
      <c r="M8">
        <v>9376</v>
      </c>
    </row>
    <row r="9" spans="1:13" x14ac:dyDescent="0.35">
      <c r="A9" t="s">
        <v>172</v>
      </c>
      <c r="B9" t="s">
        <v>171</v>
      </c>
      <c r="D9">
        <v>500.96699999999998</v>
      </c>
      <c r="E9" t="s">
        <v>14</v>
      </c>
      <c r="F9" t="s">
        <v>170</v>
      </c>
      <c r="G9" t="s">
        <v>169</v>
      </c>
      <c r="H9" t="s">
        <v>32</v>
      </c>
      <c r="I9" t="s">
        <v>33</v>
      </c>
      <c r="J9" t="s">
        <v>26</v>
      </c>
      <c r="K9" t="s">
        <v>201</v>
      </c>
      <c r="L9" s="8">
        <f t="shared" si="0"/>
        <v>3.6543171296296298E-3</v>
      </c>
      <c r="M9">
        <v>9472</v>
      </c>
    </row>
    <row r="10" spans="1:13" x14ac:dyDescent="0.35">
      <c r="A10" t="s">
        <v>172</v>
      </c>
      <c r="B10" t="s">
        <v>171</v>
      </c>
      <c r="D10">
        <v>500.96699999999998</v>
      </c>
      <c r="E10" t="s">
        <v>14</v>
      </c>
      <c r="F10" t="s">
        <v>170</v>
      </c>
      <c r="G10" t="s">
        <v>169</v>
      </c>
      <c r="H10" t="s">
        <v>36</v>
      </c>
      <c r="I10" t="s">
        <v>17</v>
      </c>
      <c r="J10" t="s">
        <v>18</v>
      </c>
      <c r="K10" t="s">
        <v>200</v>
      </c>
      <c r="L10" s="8">
        <f t="shared" si="0"/>
        <v>3.8568634259259259E-3</v>
      </c>
      <c r="M10">
        <v>9997</v>
      </c>
    </row>
    <row r="11" spans="1:13" x14ac:dyDescent="0.35">
      <c r="A11" t="s">
        <v>172</v>
      </c>
      <c r="B11" t="s">
        <v>171</v>
      </c>
      <c r="D11">
        <v>500.96699999999998</v>
      </c>
      <c r="E11" t="s">
        <v>14</v>
      </c>
      <c r="F11" t="s">
        <v>170</v>
      </c>
      <c r="G11" t="s">
        <v>169</v>
      </c>
      <c r="H11" t="s">
        <v>16</v>
      </c>
      <c r="I11" t="s">
        <v>17</v>
      </c>
      <c r="J11" t="s">
        <v>18</v>
      </c>
      <c r="K11" t="s">
        <v>199</v>
      </c>
      <c r="L11" s="8">
        <f t="shared" si="0"/>
        <v>3.9988425925925929E-3</v>
      </c>
      <c r="M11">
        <v>10365</v>
      </c>
    </row>
    <row r="12" spans="1:13" x14ac:dyDescent="0.35">
      <c r="A12" t="s">
        <v>172</v>
      </c>
      <c r="B12" t="s">
        <v>171</v>
      </c>
      <c r="D12">
        <v>500.96699999999998</v>
      </c>
      <c r="E12" t="s">
        <v>14</v>
      </c>
      <c r="F12" t="s">
        <v>170</v>
      </c>
      <c r="G12" t="s">
        <v>169</v>
      </c>
      <c r="H12" t="s">
        <v>23</v>
      </c>
      <c r="I12" t="s">
        <v>23</v>
      </c>
      <c r="J12" t="s">
        <v>24</v>
      </c>
      <c r="K12" t="s">
        <v>198</v>
      </c>
      <c r="L12" s="8">
        <f t="shared" si="0"/>
        <v>4.1435185185185186E-3</v>
      </c>
      <c r="M12">
        <v>10740</v>
      </c>
    </row>
    <row r="13" spans="1:13" x14ac:dyDescent="0.35">
      <c r="A13" t="s">
        <v>172</v>
      </c>
      <c r="B13" t="s">
        <v>171</v>
      </c>
      <c r="D13">
        <v>500.96699999999998</v>
      </c>
      <c r="E13" t="s">
        <v>14</v>
      </c>
      <c r="F13" t="s">
        <v>170</v>
      </c>
      <c r="G13" t="s">
        <v>169</v>
      </c>
      <c r="H13" t="s">
        <v>23</v>
      </c>
      <c r="I13" t="s">
        <v>23</v>
      </c>
      <c r="J13" t="s">
        <v>26</v>
      </c>
      <c r="K13" t="s">
        <v>197</v>
      </c>
      <c r="L13" s="8">
        <f t="shared" si="0"/>
        <v>4.2264699074074071E-3</v>
      </c>
      <c r="M13">
        <v>10955</v>
      </c>
    </row>
    <row r="14" spans="1:13" x14ac:dyDescent="0.35">
      <c r="A14" t="s">
        <v>172</v>
      </c>
      <c r="B14" t="s">
        <v>171</v>
      </c>
      <c r="D14">
        <v>500.96699999999998</v>
      </c>
      <c r="E14" t="s">
        <v>14</v>
      </c>
      <c r="F14" t="s">
        <v>170</v>
      </c>
      <c r="G14" t="s">
        <v>169</v>
      </c>
      <c r="H14" t="s">
        <v>36</v>
      </c>
      <c r="I14" t="s">
        <v>17</v>
      </c>
      <c r="J14" t="s">
        <v>18</v>
      </c>
      <c r="K14" t="s">
        <v>196</v>
      </c>
      <c r="L14" s="8">
        <f t="shared" si="0"/>
        <v>4.2542476851851856E-3</v>
      </c>
      <c r="M14">
        <v>11027</v>
      </c>
    </row>
    <row r="15" spans="1:13" x14ac:dyDescent="0.35">
      <c r="A15" t="s">
        <v>172</v>
      </c>
      <c r="B15" t="s">
        <v>171</v>
      </c>
      <c r="D15">
        <v>500.96699999999998</v>
      </c>
      <c r="E15" t="s">
        <v>14</v>
      </c>
      <c r="F15" t="s">
        <v>170</v>
      </c>
      <c r="G15" t="s">
        <v>169</v>
      </c>
      <c r="H15" t="s">
        <v>16</v>
      </c>
      <c r="I15" t="s">
        <v>17</v>
      </c>
      <c r="J15" t="s">
        <v>18</v>
      </c>
      <c r="K15" t="s">
        <v>195</v>
      </c>
      <c r="L15" s="8">
        <f t="shared" si="0"/>
        <v>4.6581828703703698E-3</v>
      </c>
      <c r="M15">
        <v>12074</v>
      </c>
    </row>
    <row r="16" spans="1:13" x14ac:dyDescent="0.35">
      <c r="A16" t="s">
        <v>172</v>
      </c>
      <c r="B16" t="s">
        <v>171</v>
      </c>
      <c r="D16">
        <v>500.96699999999998</v>
      </c>
      <c r="E16" t="s">
        <v>14</v>
      </c>
      <c r="F16" t="s">
        <v>170</v>
      </c>
      <c r="G16" t="s">
        <v>169</v>
      </c>
      <c r="H16" t="s">
        <v>74</v>
      </c>
      <c r="I16" t="s">
        <v>33</v>
      </c>
      <c r="J16" t="s">
        <v>24</v>
      </c>
      <c r="K16" t="s">
        <v>194</v>
      </c>
      <c r="L16" s="8">
        <f t="shared" si="0"/>
        <v>5.0817939814814814E-3</v>
      </c>
      <c r="M16">
        <v>13171</v>
      </c>
    </row>
    <row r="17" spans="1:13" x14ac:dyDescent="0.35">
      <c r="A17" t="s">
        <v>172</v>
      </c>
      <c r="B17" t="s">
        <v>171</v>
      </c>
      <c r="D17">
        <v>500.96699999999998</v>
      </c>
      <c r="E17" t="s">
        <v>14</v>
      </c>
      <c r="F17" t="s">
        <v>170</v>
      </c>
      <c r="G17" t="s">
        <v>169</v>
      </c>
      <c r="H17" t="s">
        <v>48</v>
      </c>
      <c r="I17" t="s">
        <v>30</v>
      </c>
      <c r="J17" t="s">
        <v>18</v>
      </c>
      <c r="K17" t="s">
        <v>193</v>
      </c>
      <c r="L17" s="8">
        <f t="shared" si="0"/>
        <v>5.1886574074074075E-3</v>
      </c>
      <c r="M17">
        <v>13448</v>
      </c>
    </row>
    <row r="18" spans="1:13" x14ac:dyDescent="0.35">
      <c r="A18" t="s">
        <v>172</v>
      </c>
      <c r="B18" t="s">
        <v>171</v>
      </c>
      <c r="D18">
        <v>500.96699999999998</v>
      </c>
      <c r="E18" t="s">
        <v>14</v>
      </c>
      <c r="F18" t="s">
        <v>170</v>
      </c>
      <c r="G18" t="s">
        <v>169</v>
      </c>
      <c r="H18" t="s">
        <v>16</v>
      </c>
      <c r="I18" t="s">
        <v>17</v>
      </c>
      <c r="J18" t="s">
        <v>18</v>
      </c>
      <c r="K18" t="s">
        <v>192</v>
      </c>
      <c r="L18" s="8">
        <f t="shared" si="0"/>
        <v>5.2469097222222223E-3</v>
      </c>
      <c r="M18">
        <v>13599</v>
      </c>
    </row>
    <row r="19" spans="1:13" x14ac:dyDescent="0.35">
      <c r="A19" t="s">
        <v>172</v>
      </c>
      <c r="B19" t="s">
        <v>171</v>
      </c>
      <c r="D19">
        <v>500.96699999999998</v>
      </c>
      <c r="E19" t="s">
        <v>14</v>
      </c>
      <c r="F19" t="s">
        <v>170</v>
      </c>
      <c r="G19" t="s">
        <v>169</v>
      </c>
      <c r="H19" t="s">
        <v>16</v>
      </c>
      <c r="I19" t="s">
        <v>17</v>
      </c>
      <c r="J19" t="s">
        <v>18</v>
      </c>
      <c r="K19" t="s">
        <v>191</v>
      </c>
      <c r="L19" s="8">
        <f t="shared" si="0"/>
        <v>5.5393518518518517E-3</v>
      </c>
      <c r="M19">
        <v>14357</v>
      </c>
    </row>
    <row r="20" spans="1:13" x14ac:dyDescent="0.35">
      <c r="A20" t="s">
        <v>172</v>
      </c>
      <c r="B20" t="s">
        <v>171</v>
      </c>
      <c r="D20">
        <v>500.96699999999998</v>
      </c>
      <c r="E20" t="s">
        <v>14</v>
      </c>
      <c r="F20" t="s">
        <v>170</v>
      </c>
      <c r="G20" t="s">
        <v>169</v>
      </c>
      <c r="H20" t="s">
        <v>52</v>
      </c>
      <c r="I20" t="s">
        <v>30</v>
      </c>
      <c r="J20" t="s">
        <v>18</v>
      </c>
      <c r="K20" t="s">
        <v>190</v>
      </c>
      <c r="L20" s="8">
        <f t="shared" si="0"/>
        <v>5.7696759259259255E-3</v>
      </c>
      <c r="M20">
        <v>14954</v>
      </c>
    </row>
    <row r="21" spans="1:13" x14ac:dyDescent="0.35">
      <c r="A21" t="s">
        <v>172</v>
      </c>
      <c r="B21" t="s">
        <v>171</v>
      </c>
      <c r="D21">
        <v>500.96699999999998</v>
      </c>
      <c r="E21" t="s">
        <v>14</v>
      </c>
      <c r="F21" t="s">
        <v>170</v>
      </c>
      <c r="G21" t="s">
        <v>169</v>
      </c>
      <c r="H21" t="s">
        <v>16</v>
      </c>
      <c r="I21" t="s">
        <v>17</v>
      </c>
      <c r="J21" t="s">
        <v>18</v>
      </c>
      <c r="K21" t="s">
        <v>189</v>
      </c>
      <c r="L21" s="8">
        <f t="shared" si="0"/>
        <v>6.1770833333333339E-3</v>
      </c>
      <c r="M21">
        <v>16010</v>
      </c>
    </row>
    <row r="22" spans="1:13" x14ac:dyDescent="0.35">
      <c r="A22" t="s">
        <v>172</v>
      </c>
      <c r="B22" t="s">
        <v>171</v>
      </c>
      <c r="D22">
        <v>500.96699999999998</v>
      </c>
      <c r="E22" t="s">
        <v>14</v>
      </c>
      <c r="F22" t="s">
        <v>170</v>
      </c>
      <c r="G22" t="s">
        <v>169</v>
      </c>
      <c r="H22" t="s">
        <v>61</v>
      </c>
      <c r="I22" t="s">
        <v>30</v>
      </c>
      <c r="J22" t="s">
        <v>18</v>
      </c>
      <c r="K22" t="s">
        <v>188</v>
      </c>
      <c r="L22" s="8">
        <f t="shared" si="0"/>
        <v>7.1658912037037038E-3</v>
      </c>
      <c r="M22">
        <v>18573</v>
      </c>
    </row>
    <row r="23" spans="1:13" x14ac:dyDescent="0.35">
      <c r="A23" t="s">
        <v>172</v>
      </c>
      <c r="B23" t="s">
        <v>171</v>
      </c>
      <c r="D23">
        <v>500.96699999999998</v>
      </c>
      <c r="E23" t="s">
        <v>14</v>
      </c>
      <c r="F23" t="s">
        <v>170</v>
      </c>
      <c r="G23" t="s">
        <v>169</v>
      </c>
      <c r="H23" t="s">
        <v>63</v>
      </c>
      <c r="I23" t="s">
        <v>30</v>
      </c>
      <c r="J23" t="s">
        <v>18</v>
      </c>
      <c r="K23" t="s">
        <v>187</v>
      </c>
      <c r="L23" s="8">
        <f t="shared" si="0"/>
        <v>7.2168171296296295E-3</v>
      </c>
      <c r="M23">
        <v>18705</v>
      </c>
    </row>
    <row r="24" spans="1:13" x14ac:dyDescent="0.35">
      <c r="A24" t="s">
        <v>172</v>
      </c>
      <c r="B24" t="s">
        <v>171</v>
      </c>
      <c r="D24">
        <v>500.96699999999998</v>
      </c>
      <c r="E24" t="s">
        <v>14</v>
      </c>
      <c r="F24" t="s">
        <v>170</v>
      </c>
      <c r="G24" t="s">
        <v>169</v>
      </c>
      <c r="H24" t="s">
        <v>16</v>
      </c>
      <c r="I24" t="s">
        <v>17</v>
      </c>
      <c r="J24" t="s">
        <v>18</v>
      </c>
      <c r="K24" t="s">
        <v>186</v>
      </c>
      <c r="L24" s="8">
        <f t="shared" si="0"/>
        <v>7.2665856481481479E-3</v>
      </c>
      <c r="M24">
        <v>18834</v>
      </c>
    </row>
    <row r="25" spans="1:13" x14ac:dyDescent="0.35">
      <c r="A25" t="s">
        <v>172</v>
      </c>
      <c r="B25" t="s">
        <v>171</v>
      </c>
      <c r="D25">
        <v>500.96699999999998</v>
      </c>
      <c r="E25" t="s">
        <v>14</v>
      </c>
      <c r="F25" t="s">
        <v>170</v>
      </c>
      <c r="G25" t="s">
        <v>169</v>
      </c>
      <c r="H25" t="s">
        <v>65</v>
      </c>
      <c r="I25" t="s">
        <v>30</v>
      </c>
      <c r="J25" t="s">
        <v>18</v>
      </c>
      <c r="K25" t="s">
        <v>185</v>
      </c>
      <c r="L25" s="8">
        <f t="shared" si="0"/>
        <v>7.2955208333333327E-3</v>
      </c>
      <c r="M25">
        <v>18909</v>
      </c>
    </row>
    <row r="26" spans="1:13" x14ac:dyDescent="0.35">
      <c r="A26" t="s">
        <v>172</v>
      </c>
      <c r="B26" t="s">
        <v>171</v>
      </c>
      <c r="D26">
        <v>500.96699999999998</v>
      </c>
      <c r="E26" t="s">
        <v>14</v>
      </c>
      <c r="F26" t="s">
        <v>170</v>
      </c>
      <c r="G26" t="s">
        <v>169</v>
      </c>
      <c r="H26" t="s">
        <v>16</v>
      </c>
      <c r="I26" t="s">
        <v>17</v>
      </c>
      <c r="J26" t="s">
        <v>18</v>
      </c>
      <c r="K26" t="s">
        <v>184</v>
      </c>
      <c r="L26" s="8">
        <f t="shared" si="0"/>
        <v>7.3202199074074072E-3</v>
      </c>
      <c r="M26">
        <v>18973</v>
      </c>
    </row>
    <row r="27" spans="1:13" x14ac:dyDescent="0.35">
      <c r="A27" t="s">
        <v>172</v>
      </c>
      <c r="B27" t="s">
        <v>171</v>
      </c>
      <c r="D27">
        <v>500.96699999999998</v>
      </c>
      <c r="E27" t="s">
        <v>14</v>
      </c>
      <c r="F27" t="s">
        <v>170</v>
      </c>
      <c r="G27" t="s">
        <v>169</v>
      </c>
      <c r="H27" t="s">
        <v>36</v>
      </c>
      <c r="I27" t="s">
        <v>17</v>
      </c>
      <c r="J27" t="s">
        <v>18</v>
      </c>
      <c r="K27" t="s">
        <v>183</v>
      </c>
      <c r="L27" s="8">
        <f t="shared" si="0"/>
        <v>7.492280092592592E-3</v>
      </c>
      <c r="M27">
        <v>19419</v>
      </c>
    </row>
    <row r="28" spans="1:13" x14ac:dyDescent="0.35">
      <c r="A28" t="s">
        <v>172</v>
      </c>
      <c r="B28" t="s">
        <v>171</v>
      </c>
      <c r="D28">
        <v>500.96699999999998</v>
      </c>
      <c r="E28" t="s">
        <v>14</v>
      </c>
      <c r="F28" t="s">
        <v>170</v>
      </c>
      <c r="G28" t="s">
        <v>169</v>
      </c>
      <c r="H28" t="s">
        <v>16</v>
      </c>
      <c r="I28" t="s">
        <v>17</v>
      </c>
      <c r="J28" t="s">
        <v>18</v>
      </c>
      <c r="K28" t="s">
        <v>182</v>
      </c>
      <c r="L28" s="8">
        <f t="shared" si="0"/>
        <v>7.5327893518518513E-3</v>
      </c>
      <c r="M28">
        <v>19524</v>
      </c>
    </row>
    <row r="29" spans="1:13" x14ac:dyDescent="0.35">
      <c r="A29" t="s">
        <v>172</v>
      </c>
      <c r="B29" t="s">
        <v>171</v>
      </c>
      <c r="D29">
        <v>500.96699999999998</v>
      </c>
      <c r="E29" t="s">
        <v>14</v>
      </c>
      <c r="F29" t="s">
        <v>170</v>
      </c>
      <c r="G29" t="s">
        <v>169</v>
      </c>
      <c r="H29" t="s">
        <v>69</v>
      </c>
      <c r="I29" t="s">
        <v>30</v>
      </c>
      <c r="J29" t="s">
        <v>18</v>
      </c>
      <c r="K29" t="s">
        <v>181</v>
      </c>
      <c r="L29" s="8">
        <f t="shared" si="0"/>
        <v>7.6045486111111114E-3</v>
      </c>
      <c r="M29">
        <v>19710</v>
      </c>
    </row>
    <row r="30" spans="1:13" x14ac:dyDescent="0.35">
      <c r="A30" t="s">
        <v>172</v>
      </c>
      <c r="B30" t="s">
        <v>171</v>
      </c>
      <c r="D30">
        <v>500.96699999999998</v>
      </c>
      <c r="E30" t="s">
        <v>14</v>
      </c>
      <c r="F30" t="s">
        <v>170</v>
      </c>
      <c r="G30" t="s">
        <v>169</v>
      </c>
      <c r="H30" t="s">
        <v>72</v>
      </c>
      <c r="I30" t="s">
        <v>30</v>
      </c>
      <c r="J30" t="s">
        <v>18</v>
      </c>
      <c r="K30" t="s">
        <v>180</v>
      </c>
      <c r="L30" s="8">
        <f t="shared" si="0"/>
        <v>7.6188310185185187E-3</v>
      </c>
      <c r="M30">
        <v>19747</v>
      </c>
    </row>
    <row r="31" spans="1:13" x14ac:dyDescent="0.35">
      <c r="A31" t="s">
        <v>172</v>
      </c>
      <c r="B31" t="s">
        <v>171</v>
      </c>
      <c r="D31">
        <v>500.96699999999998</v>
      </c>
      <c r="E31" t="s">
        <v>14</v>
      </c>
      <c r="F31" t="s">
        <v>170</v>
      </c>
      <c r="G31" t="s">
        <v>169</v>
      </c>
      <c r="H31" t="s">
        <v>16</v>
      </c>
      <c r="I31" t="s">
        <v>17</v>
      </c>
      <c r="J31" t="s">
        <v>18</v>
      </c>
      <c r="K31" t="s">
        <v>179</v>
      </c>
      <c r="L31" s="8">
        <f t="shared" si="0"/>
        <v>7.8823263888888884E-3</v>
      </c>
      <c r="M31">
        <v>20430</v>
      </c>
    </row>
    <row r="32" spans="1:13" x14ac:dyDescent="0.35">
      <c r="A32" t="s">
        <v>172</v>
      </c>
      <c r="B32" t="s">
        <v>171</v>
      </c>
      <c r="D32">
        <v>500.96699999999998</v>
      </c>
      <c r="E32" t="s">
        <v>14</v>
      </c>
      <c r="F32" t="s">
        <v>170</v>
      </c>
      <c r="G32" t="s">
        <v>169</v>
      </c>
      <c r="H32" t="s">
        <v>74</v>
      </c>
      <c r="I32" t="s">
        <v>33</v>
      </c>
      <c r="J32" t="s">
        <v>26</v>
      </c>
      <c r="K32" t="s">
        <v>178</v>
      </c>
      <c r="L32" s="8">
        <f t="shared" si="0"/>
        <v>7.9143518518518512E-3</v>
      </c>
      <c r="M32">
        <v>20513</v>
      </c>
    </row>
    <row r="33" spans="1:13" x14ac:dyDescent="0.35">
      <c r="A33" t="s">
        <v>172</v>
      </c>
      <c r="B33" t="s">
        <v>171</v>
      </c>
      <c r="D33">
        <v>500.96699999999998</v>
      </c>
      <c r="E33" t="s">
        <v>14</v>
      </c>
      <c r="F33" t="s">
        <v>170</v>
      </c>
      <c r="G33" t="s">
        <v>169</v>
      </c>
      <c r="H33" t="s">
        <v>74</v>
      </c>
      <c r="I33" t="s">
        <v>33</v>
      </c>
      <c r="J33" t="s">
        <v>24</v>
      </c>
      <c r="K33" t="s">
        <v>177</v>
      </c>
      <c r="L33" s="8">
        <f t="shared" si="0"/>
        <v>7.9783912037037028E-3</v>
      </c>
      <c r="M33">
        <v>20679</v>
      </c>
    </row>
    <row r="34" spans="1:13" x14ac:dyDescent="0.35">
      <c r="A34" t="s">
        <v>172</v>
      </c>
      <c r="B34" t="s">
        <v>171</v>
      </c>
      <c r="D34">
        <v>500.96699999999998</v>
      </c>
      <c r="E34" t="s">
        <v>14</v>
      </c>
      <c r="F34" t="s">
        <v>170</v>
      </c>
      <c r="G34" t="s">
        <v>169</v>
      </c>
      <c r="H34" t="s">
        <v>74</v>
      </c>
      <c r="I34" t="s">
        <v>33</v>
      </c>
      <c r="J34" t="s">
        <v>26</v>
      </c>
      <c r="K34" t="s">
        <v>176</v>
      </c>
      <c r="L34" s="8">
        <f t="shared" si="0"/>
        <v>8.0655902777777774E-3</v>
      </c>
      <c r="M34">
        <v>20905</v>
      </c>
    </row>
    <row r="35" spans="1:13" x14ac:dyDescent="0.35">
      <c r="A35" t="s">
        <v>172</v>
      </c>
      <c r="B35" t="s">
        <v>171</v>
      </c>
      <c r="D35">
        <v>500.96699999999998</v>
      </c>
      <c r="E35" t="s">
        <v>14</v>
      </c>
      <c r="F35" t="s">
        <v>170</v>
      </c>
      <c r="G35" t="s">
        <v>169</v>
      </c>
      <c r="H35" t="s">
        <v>32</v>
      </c>
      <c r="I35" t="s">
        <v>33</v>
      </c>
      <c r="J35" t="s">
        <v>24</v>
      </c>
      <c r="K35" t="s">
        <v>175</v>
      </c>
      <c r="L35" s="8">
        <f t="shared" si="0"/>
        <v>8.1628124999999999E-3</v>
      </c>
      <c r="M35">
        <v>21157</v>
      </c>
    </row>
    <row r="36" spans="1:13" x14ac:dyDescent="0.35">
      <c r="A36" t="s">
        <v>172</v>
      </c>
      <c r="B36" t="s">
        <v>171</v>
      </c>
      <c r="D36">
        <v>500.96699999999998</v>
      </c>
      <c r="E36" t="s">
        <v>14</v>
      </c>
      <c r="F36" t="s">
        <v>170</v>
      </c>
      <c r="G36" t="s">
        <v>169</v>
      </c>
      <c r="H36" t="s">
        <v>78</v>
      </c>
      <c r="I36" t="s">
        <v>30</v>
      </c>
      <c r="J36" t="s">
        <v>18</v>
      </c>
      <c r="K36" t="s">
        <v>174</v>
      </c>
      <c r="L36" s="8">
        <f t="shared" si="0"/>
        <v>8.179016203703704E-3</v>
      </c>
      <c r="M36">
        <v>21199</v>
      </c>
    </row>
    <row r="37" spans="1:13" x14ac:dyDescent="0.35">
      <c r="A37" t="s">
        <v>172</v>
      </c>
      <c r="B37" t="s">
        <v>171</v>
      </c>
      <c r="D37">
        <v>500.96699999999998</v>
      </c>
      <c r="E37" t="s">
        <v>14</v>
      </c>
      <c r="F37" t="s">
        <v>170</v>
      </c>
      <c r="G37" t="s">
        <v>169</v>
      </c>
      <c r="H37" t="s">
        <v>32</v>
      </c>
      <c r="I37" t="s">
        <v>33</v>
      </c>
      <c r="J37" t="s">
        <v>26</v>
      </c>
      <c r="K37" t="s">
        <v>173</v>
      </c>
      <c r="L37" s="8">
        <f t="shared" si="0"/>
        <v>8.1940625E-3</v>
      </c>
      <c r="M37">
        <v>21238</v>
      </c>
    </row>
    <row r="38" spans="1:13" x14ac:dyDescent="0.35">
      <c r="A38" t="s">
        <v>172</v>
      </c>
      <c r="B38" t="s">
        <v>171</v>
      </c>
      <c r="D38">
        <v>500.96699999999998</v>
      </c>
      <c r="E38" t="s">
        <v>14</v>
      </c>
      <c r="F38" t="s">
        <v>170</v>
      </c>
      <c r="G38" t="s">
        <v>169</v>
      </c>
      <c r="H38" t="s">
        <v>36</v>
      </c>
      <c r="I38" t="s">
        <v>17</v>
      </c>
      <c r="J38" t="s">
        <v>18</v>
      </c>
      <c r="K38" t="s">
        <v>168</v>
      </c>
      <c r="L38" s="8">
        <f t="shared" si="0"/>
        <v>8.2091087962962977E-3</v>
      </c>
      <c r="M38">
        <v>21277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EF5D6-0D83-42A6-A124-C6285B9DB8B0}">
  <dimension ref="A1:E16"/>
  <sheetViews>
    <sheetView topLeftCell="A10" workbookViewId="0">
      <selection activeCell="E16" sqref="A1:E16"/>
    </sheetView>
  </sheetViews>
  <sheetFormatPr defaultRowHeight="14.5" x14ac:dyDescent="0.35"/>
  <cols>
    <col min="1" max="1" width="8.7265625" customWidth="1"/>
    <col min="2" max="2" width="29.6328125" customWidth="1"/>
    <col min="3" max="3" width="23.7265625" customWidth="1"/>
    <col min="4" max="4" width="39.1796875" customWidth="1"/>
    <col min="5" max="5" width="25.7265625" customWidth="1"/>
  </cols>
  <sheetData>
    <row r="1" spans="1:5" x14ac:dyDescent="0.35">
      <c r="A1" s="9" t="s">
        <v>218</v>
      </c>
      <c r="B1" s="9" t="s">
        <v>219</v>
      </c>
      <c r="C1" s="9" t="s">
        <v>222</v>
      </c>
      <c r="D1" s="9" t="s">
        <v>220</v>
      </c>
      <c r="E1" s="9" t="s">
        <v>221</v>
      </c>
    </row>
    <row r="2" spans="1:5" ht="31.5" thickBot="1" x14ac:dyDescent="0.4">
      <c r="A2" s="10" t="s">
        <v>211</v>
      </c>
      <c r="B2" s="11" t="s">
        <v>16</v>
      </c>
      <c r="C2" s="11" t="s">
        <v>212</v>
      </c>
      <c r="D2" s="15" t="s">
        <v>233</v>
      </c>
      <c r="E2" s="10" t="s">
        <v>17</v>
      </c>
    </row>
    <row r="3" spans="1:5" ht="31.5" thickBot="1" x14ac:dyDescent="0.4">
      <c r="A3" s="12" t="s">
        <v>213</v>
      </c>
      <c r="B3" s="13" t="s">
        <v>36</v>
      </c>
      <c r="C3" s="13" t="s">
        <v>212</v>
      </c>
      <c r="D3" s="16" t="s">
        <v>234</v>
      </c>
      <c r="E3" s="12" t="s">
        <v>17</v>
      </c>
    </row>
    <row r="4" spans="1:5" ht="16" thickBot="1" x14ac:dyDescent="0.4">
      <c r="A4" s="12" t="s">
        <v>214</v>
      </c>
      <c r="B4" s="13" t="s">
        <v>23</v>
      </c>
      <c r="C4" s="13" t="s">
        <v>215</v>
      </c>
      <c r="D4" s="16" t="s">
        <v>237</v>
      </c>
      <c r="E4" s="12" t="s">
        <v>23</v>
      </c>
    </row>
    <row r="5" spans="1:5" ht="31.5" thickBot="1" x14ac:dyDescent="0.4">
      <c r="A5" s="12">
        <v>0</v>
      </c>
      <c r="B5" s="13" t="s">
        <v>78</v>
      </c>
      <c r="C5" s="13" t="s">
        <v>212</v>
      </c>
      <c r="D5" s="17" t="s">
        <v>232</v>
      </c>
      <c r="E5" s="12" t="s">
        <v>30</v>
      </c>
    </row>
    <row r="6" spans="1:5" ht="31.5" thickBot="1" x14ac:dyDescent="0.4">
      <c r="A6" s="12">
        <v>1</v>
      </c>
      <c r="B6" s="13" t="s">
        <v>29</v>
      </c>
      <c r="C6" s="13" t="s">
        <v>212</v>
      </c>
      <c r="D6" s="17" t="s">
        <v>223</v>
      </c>
      <c r="E6" s="12" t="s">
        <v>30</v>
      </c>
    </row>
    <row r="7" spans="1:5" ht="47" thickBot="1" x14ac:dyDescent="0.4">
      <c r="A7" s="12">
        <v>2</v>
      </c>
      <c r="B7" s="13" t="s">
        <v>39</v>
      </c>
      <c r="C7" s="13" t="s">
        <v>212</v>
      </c>
      <c r="D7" s="17" t="s">
        <v>224</v>
      </c>
      <c r="E7" s="12" t="s">
        <v>30</v>
      </c>
    </row>
    <row r="8" spans="1:5" ht="47" thickBot="1" x14ac:dyDescent="0.4">
      <c r="A8" s="12">
        <v>3</v>
      </c>
      <c r="B8" s="13" t="s">
        <v>48</v>
      </c>
      <c r="C8" s="13" t="s">
        <v>212</v>
      </c>
      <c r="D8" s="14" t="s">
        <v>225</v>
      </c>
      <c r="E8" s="12" t="s">
        <v>30</v>
      </c>
    </row>
    <row r="9" spans="1:5" ht="31.5" thickBot="1" x14ac:dyDescent="0.4">
      <c r="A9" s="12">
        <v>4</v>
      </c>
      <c r="B9" s="13" t="s">
        <v>52</v>
      </c>
      <c r="C9" s="13" t="s">
        <v>212</v>
      </c>
      <c r="D9" s="14" t="s">
        <v>226</v>
      </c>
      <c r="E9" s="12" t="s">
        <v>30</v>
      </c>
    </row>
    <row r="10" spans="1:5" ht="47" thickBot="1" x14ac:dyDescent="0.4">
      <c r="A10" s="12">
        <v>5</v>
      </c>
      <c r="B10" s="13" t="s">
        <v>61</v>
      </c>
      <c r="C10" s="13" t="s">
        <v>212</v>
      </c>
      <c r="D10" s="14" t="s">
        <v>227</v>
      </c>
      <c r="E10" s="12" t="s">
        <v>30</v>
      </c>
    </row>
    <row r="11" spans="1:5" ht="47" thickBot="1" x14ac:dyDescent="0.4">
      <c r="A11" s="12">
        <v>6</v>
      </c>
      <c r="B11" s="13" t="s">
        <v>63</v>
      </c>
      <c r="C11" s="13" t="s">
        <v>212</v>
      </c>
      <c r="D11" s="14" t="s">
        <v>228</v>
      </c>
      <c r="E11" s="12" t="s">
        <v>30</v>
      </c>
    </row>
    <row r="12" spans="1:5" ht="31.5" thickBot="1" x14ac:dyDescent="0.4">
      <c r="A12" s="12">
        <v>7</v>
      </c>
      <c r="B12" s="13" t="s">
        <v>65</v>
      </c>
      <c r="C12" s="13" t="s">
        <v>212</v>
      </c>
      <c r="D12" s="14" t="s">
        <v>229</v>
      </c>
      <c r="E12" s="12" t="s">
        <v>30</v>
      </c>
    </row>
    <row r="13" spans="1:5" ht="31.5" thickBot="1" x14ac:dyDescent="0.4">
      <c r="A13" s="12">
        <v>8</v>
      </c>
      <c r="B13" s="13" t="s">
        <v>69</v>
      </c>
      <c r="C13" s="13" t="s">
        <v>212</v>
      </c>
      <c r="D13" s="14" t="s">
        <v>230</v>
      </c>
      <c r="E13" s="12" t="s">
        <v>30</v>
      </c>
    </row>
    <row r="14" spans="1:5" ht="31.5" thickBot="1" x14ac:dyDescent="0.4">
      <c r="A14" s="12">
        <v>9</v>
      </c>
      <c r="B14" s="13" t="s">
        <v>72</v>
      </c>
      <c r="C14" s="13" t="s">
        <v>212</v>
      </c>
      <c r="D14" s="14" t="s">
        <v>231</v>
      </c>
      <c r="E14" s="12" t="s">
        <v>30</v>
      </c>
    </row>
    <row r="15" spans="1:5" ht="31.5" thickBot="1" x14ac:dyDescent="0.4">
      <c r="A15" s="12" t="s">
        <v>216</v>
      </c>
      <c r="B15" s="13" t="s">
        <v>74</v>
      </c>
      <c r="C15" s="13" t="s">
        <v>215</v>
      </c>
      <c r="D15" s="16" t="s">
        <v>235</v>
      </c>
      <c r="E15" s="12" t="s">
        <v>33</v>
      </c>
    </row>
    <row r="16" spans="1:5" ht="31.5" thickBot="1" x14ac:dyDescent="0.4">
      <c r="A16" s="12" t="s">
        <v>217</v>
      </c>
      <c r="B16" s="13" t="s">
        <v>32</v>
      </c>
      <c r="C16" s="13" t="s">
        <v>215</v>
      </c>
      <c r="D16" s="16" t="s">
        <v>236</v>
      </c>
      <c r="E16" s="1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OPERATOR_1</vt:lpstr>
      <vt:lpstr>OPERATOR_2</vt:lpstr>
      <vt:lpstr>OPERATOR_3</vt:lpstr>
      <vt:lpstr>OPERATOR_4</vt:lpstr>
      <vt:lpstr>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Suarez</cp:lastModifiedBy>
  <dcterms:created xsi:type="dcterms:W3CDTF">2026-02-04T13:53:22Z</dcterms:created>
  <dcterms:modified xsi:type="dcterms:W3CDTF">2026-02-24T16:56:19Z</dcterms:modified>
</cp:coreProperties>
</file>